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-120" yWindow="-120" windowWidth="29040" windowHeight="15990" tabRatio="500" firstSheet="1" activeTab="1"/>
  </bookViews>
  <sheets>
    <sheet name="Valeurs" sheetId="1" state="hidden" r:id="rId1"/>
    <sheet name="MASSE" sheetId="2" r:id="rId2"/>
    <sheet name="TOURTEAU" sheetId="4" r:id="rId3"/>
    <sheet name="BEURRE" sheetId="3" r:id="rId4"/>
    <sheet name="GRAPHIQUES" sheetId="5" r:id="rId5"/>
    <sheet name="Contrôle TEST PESEE" sheetId="6" r:id="rId6"/>
    <sheet name="Feuil1" sheetId="7" r:id="rId7"/>
  </sheets>
  <definedNames>
    <definedName name="_xlnm._FilterDatabase" localSheetId="2" hidden="1">TOURTEAU!$L$8:$R$515</definedName>
  </definedNames>
  <calcPr calcId="162913"/>
</workbook>
</file>

<file path=xl/calcChain.xml><?xml version="1.0" encoding="utf-8"?>
<calcChain xmlns="http://schemas.openxmlformats.org/spreadsheetml/2006/main">
  <c r="N177" i="2" l="1"/>
  <c r="S177" i="2" l="1"/>
  <c r="R177" i="2"/>
  <c r="Q177" i="2"/>
  <c r="X3" i="4"/>
  <c r="F45" i="4" l="1"/>
  <c r="E45" i="4"/>
  <c r="G45" i="4" s="1"/>
  <c r="B45" i="4"/>
  <c r="S4" i="4"/>
  <c r="S3" i="4"/>
  <c r="AB68" i="2"/>
  <c r="AB69" i="2"/>
  <c r="AB64" i="2" l="1"/>
  <c r="AB63" i="2"/>
  <c r="AB62" i="2" l="1"/>
  <c r="AB61" i="2"/>
  <c r="AD3" i="2" l="1"/>
  <c r="Z3" i="2"/>
  <c r="AB60" i="2"/>
  <c r="AB59" i="2"/>
  <c r="AB58" i="2"/>
  <c r="AB12" i="2"/>
  <c r="AB11" i="2"/>
  <c r="AB10" i="2"/>
  <c r="G27" i="2" l="1"/>
  <c r="F27" i="2"/>
  <c r="E27" i="2"/>
  <c r="B27" i="2"/>
  <c r="U4" i="2"/>
  <c r="U3" i="2"/>
  <c r="AH8" i="7"/>
  <c r="Y8" i="7"/>
  <c r="P8" i="7"/>
  <c r="AH7" i="7"/>
  <c r="Y7" i="7"/>
  <c r="P7" i="7"/>
  <c r="AH6" i="7"/>
  <c r="Y6" i="7"/>
  <c r="P6" i="7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AA79" i="6"/>
  <c r="R79" i="6"/>
  <c r="I79" i="6"/>
  <c r="AA78" i="6"/>
  <c r="R78" i="6"/>
  <c r="I78" i="6"/>
  <c r="AA77" i="6"/>
  <c r="R77" i="6"/>
  <c r="I77" i="6"/>
  <c r="AA76" i="6"/>
  <c r="R76" i="6"/>
  <c r="I76" i="6"/>
  <c r="AA75" i="6"/>
  <c r="R75" i="6"/>
  <c r="I75" i="6"/>
  <c r="AA74" i="6"/>
  <c r="R74" i="6"/>
  <c r="I74" i="6"/>
  <c r="AA73" i="6"/>
  <c r="R73" i="6"/>
  <c r="I73" i="6"/>
  <c r="AA72" i="6"/>
  <c r="R72" i="6"/>
  <c r="I72" i="6"/>
  <c r="AA71" i="6"/>
  <c r="R71" i="6"/>
  <c r="I71" i="6"/>
  <c r="AA70" i="6"/>
  <c r="R70" i="6"/>
  <c r="I70" i="6"/>
  <c r="AA69" i="6"/>
  <c r="R69" i="6"/>
  <c r="I69" i="6"/>
  <c r="AA68" i="6"/>
  <c r="R68" i="6"/>
  <c r="I68" i="6"/>
  <c r="AA67" i="6"/>
  <c r="R67" i="6"/>
  <c r="I67" i="6"/>
  <c r="AA66" i="6"/>
  <c r="R66" i="6"/>
  <c r="I66" i="6"/>
  <c r="AA65" i="6"/>
  <c r="R65" i="6"/>
  <c r="I65" i="6"/>
  <c r="AA64" i="6"/>
  <c r="R64" i="6"/>
  <c r="I64" i="6"/>
  <c r="AA63" i="6"/>
  <c r="R63" i="6"/>
  <c r="I63" i="6"/>
  <c r="AA62" i="6"/>
  <c r="R62" i="6"/>
  <c r="I62" i="6"/>
  <c r="AA61" i="6"/>
  <c r="R61" i="6"/>
  <c r="I61" i="6"/>
  <c r="AA60" i="6"/>
  <c r="R60" i="6"/>
  <c r="I60" i="6"/>
  <c r="AA59" i="6"/>
  <c r="R59" i="6"/>
  <c r="I59" i="6"/>
  <c r="AA58" i="6"/>
  <c r="R58" i="6"/>
  <c r="I58" i="6"/>
  <c r="AA57" i="6"/>
  <c r="R57" i="6"/>
  <c r="I57" i="6"/>
  <c r="AA56" i="6"/>
  <c r="R56" i="6"/>
  <c r="I56" i="6"/>
  <c r="AA55" i="6"/>
  <c r="R55" i="6"/>
  <c r="I55" i="6"/>
  <c r="AA54" i="6"/>
  <c r="R54" i="6"/>
  <c r="I54" i="6"/>
  <c r="AA53" i="6"/>
  <c r="R53" i="6"/>
  <c r="I53" i="6"/>
  <c r="AA52" i="6"/>
  <c r="R52" i="6"/>
  <c r="I52" i="6"/>
  <c r="AA51" i="6"/>
  <c r="R51" i="6"/>
  <c r="I51" i="6"/>
  <c r="AA50" i="6"/>
  <c r="R50" i="6"/>
  <c r="I50" i="6"/>
  <c r="AA49" i="6"/>
  <c r="R49" i="6"/>
  <c r="I49" i="6"/>
  <c r="AA48" i="6"/>
  <c r="R48" i="6"/>
  <c r="I48" i="6"/>
  <c r="AA47" i="6"/>
  <c r="R47" i="6"/>
  <c r="I47" i="6"/>
  <c r="AA46" i="6"/>
  <c r="R46" i="6"/>
  <c r="I46" i="6"/>
  <c r="AA45" i="6"/>
  <c r="R45" i="6"/>
  <c r="I45" i="6"/>
  <c r="AA44" i="6"/>
  <c r="R44" i="6"/>
  <c r="I44" i="6"/>
  <c r="AA43" i="6"/>
  <c r="R43" i="6"/>
  <c r="I43" i="6"/>
  <c r="AA42" i="6"/>
  <c r="R42" i="6"/>
  <c r="I42" i="6"/>
  <c r="AA41" i="6"/>
  <c r="R41" i="6"/>
  <c r="I41" i="6"/>
  <c r="AA40" i="6"/>
  <c r="R40" i="6"/>
  <c r="I40" i="6"/>
  <c r="AA39" i="6"/>
  <c r="R39" i="6"/>
  <c r="I39" i="6"/>
  <c r="AA38" i="6"/>
  <c r="R38" i="6"/>
  <c r="I38" i="6"/>
  <c r="AA37" i="6"/>
  <c r="R37" i="6"/>
  <c r="I37" i="6"/>
  <c r="AA36" i="6"/>
  <c r="R36" i="6"/>
  <c r="I36" i="6"/>
  <c r="AA35" i="6"/>
  <c r="R35" i="6"/>
  <c r="I35" i="6"/>
  <c r="AA34" i="6"/>
  <c r="R34" i="6"/>
  <c r="I34" i="6"/>
  <c r="AA33" i="6"/>
  <c r="R33" i="6"/>
  <c r="I33" i="6"/>
  <c r="AA32" i="6"/>
  <c r="R32" i="6"/>
  <c r="I32" i="6"/>
  <c r="AA31" i="6"/>
  <c r="R31" i="6"/>
  <c r="I31" i="6"/>
  <c r="AA30" i="6"/>
  <c r="R30" i="6"/>
  <c r="I30" i="6"/>
  <c r="AA29" i="6"/>
  <c r="R29" i="6"/>
  <c r="I29" i="6"/>
  <c r="AA28" i="6"/>
  <c r="R28" i="6"/>
  <c r="I28" i="6"/>
  <c r="AA27" i="6"/>
  <c r="R27" i="6"/>
  <c r="I27" i="6"/>
  <c r="AA26" i="6"/>
  <c r="R26" i="6"/>
  <c r="I26" i="6"/>
  <c r="AA25" i="6"/>
  <c r="R25" i="6"/>
  <c r="I25" i="6"/>
  <c r="AA24" i="6"/>
  <c r="R24" i="6"/>
  <c r="I24" i="6"/>
  <c r="AA23" i="6"/>
  <c r="R23" i="6"/>
  <c r="I23" i="6"/>
  <c r="AA22" i="6"/>
  <c r="R22" i="6"/>
  <c r="I22" i="6"/>
  <c r="AA21" i="6"/>
  <c r="R21" i="6"/>
  <c r="I21" i="6"/>
  <c r="AA20" i="6"/>
  <c r="R20" i="6"/>
  <c r="I20" i="6"/>
  <c r="AA19" i="6"/>
  <c r="R19" i="6"/>
  <c r="I19" i="6"/>
  <c r="AA18" i="6"/>
  <c r="R18" i="6"/>
  <c r="I18" i="6"/>
  <c r="AA17" i="6"/>
  <c r="R17" i="6"/>
  <c r="I17" i="6"/>
  <c r="AA16" i="6"/>
  <c r="R16" i="6"/>
  <c r="I16" i="6"/>
  <c r="AA15" i="6"/>
  <c r="R15" i="6"/>
  <c r="I15" i="6"/>
  <c r="AA14" i="6"/>
  <c r="R14" i="6"/>
  <c r="I14" i="6"/>
  <c r="AA13" i="6"/>
  <c r="R13" i="6"/>
  <c r="I13" i="6"/>
  <c r="AA12" i="6"/>
  <c r="R12" i="6"/>
  <c r="I12" i="6"/>
  <c r="AA11" i="6"/>
  <c r="R11" i="6"/>
  <c r="I11" i="6"/>
  <c r="AA10" i="6"/>
  <c r="R10" i="6"/>
  <c r="I10" i="6"/>
  <c r="AA9" i="6"/>
  <c r="R9" i="6"/>
  <c r="I9" i="6"/>
  <c r="AA8" i="6"/>
  <c r="R8" i="6"/>
  <c r="I8" i="6"/>
  <c r="AA7" i="6"/>
  <c r="R7" i="6"/>
  <c r="I7" i="6"/>
  <c r="AA6" i="6"/>
  <c r="R6" i="6"/>
  <c r="I6" i="6"/>
  <c r="S36" i="3"/>
  <c r="R36" i="3"/>
  <c r="Q36" i="3"/>
  <c r="N36" i="3"/>
  <c r="G33" i="3"/>
  <c r="F33" i="3"/>
  <c r="E33" i="3"/>
  <c r="B33" i="3"/>
  <c r="U4" i="3"/>
  <c r="O4" i="3"/>
  <c r="G4" i="3"/>
  <c r="AB3" i="3"/>
  <c r="E6" i="5" s="1"/>
  <c r="X3" i="3"/>
  <c r="U3" i="3"/>
  <c r="M3" i="3"/>
  <c r="D6" i="5" s="1"/>
  <c r="E3" i="3"/>
  <c r="C6" i="5" s="1"/>
  <c r="X4" i="4"/>
  <c r="N4" i="4"/>
  <c r="F4" i="4"/>
  <c r="E7" i="5"/>
  <c r="L3" i="4"/>
  <c r="D7" i="5" s="1"/>
  <c r="E3" i="4"/>
  <c r="C7" i="5" s="1"/>
  <c r="AB57" i="2"/>
  <c r="AB56" i="2"/>
  <c r="AB55" i="2"/>
  <c r="AB54" i="2"/>
  <c r="AB53" i="2"/>
  <c r="AB52" i="2"/>
  <c r="AB51" i="2"/>
  <c r="AB50" i="2"/>
  <c r="AB49" i="2"/>
  <c r="AB48" i="2"/>
  <c r="AB47" i="2"/>
  <c r="AB46" i="2"/>
  <c r="AB45" i="2"/>
  <c r="AB44" i="2"/>
  <c r="AB43" i="2"/>
  <c r="AB42" i="2"/>
  <c r="AB41" i="2"/>
  <c r="AB40" i="2"/>
  <c r="AB39" i="2"/>
  <c r="AB38" i="2"/>
  <c r="AB37" i="2"/>
  <c r="AB36" i="2"/>
  <c r="AB35" i="2"/>
  <c r="AB34" i="2"/>
  <c r="AB33" i="2"/>
  <c r="AB32" i="2"/>
  <c r="AB31" i="2"/>
  <c r="AB30" i="2"/>
  <c r="AB29" i="2"/>
  <c r="AB28" i="2"/>
  <c r="AB27" i="2"/>
  <c r="AB25" i="2"/>
  <c r="AB24" i="2"/>
  <c r="AB23" i="2"/>
  <c r="AB22" i="2"/>
  <c r="AB21" i="2"/>
  <c r="AB20" i="2"/>
  <c r="AB19" i="2"/>
  <c r="AB18" i="2"/>
  <c r="AB17" i="2"/>
  <c r="AB15" i="2"/>
  <c r="AB14" i="2"/>
  <c r="AB13" i="2"/>
  <c r="O4" i="2"/>
  <c r="G4" i="2"/>
  <c r="AB3" i="2"/>
  <c r="E5" i="5" s="1"/>
  <c r="M3" i="2"/>
  <c r="D5" i="5" s="1"/>
  <c r="E3" i="2"/>
  <c r="C5" i="5" s="1"/>
  <c r="X3" i="2" l="1"/>
  <c r="F6" i="5"/>
  <c r="F7" i="5"/>
  <c r="F5" i="5"/>
</calcChain>
</file>

<file path=xl/sharedStrings.xml><?xml version="1.0" encoding="utf-8"?>
<sst xmlns="http://schemas.openxmlformats.org/spreadsheetml/2006/main" count="1757" uniqueCount="151">
  <si>
    <t>LIBERE</t>
  </si>
  <si>
    <t>NON LIBERE</t>
  </si>
  <si>
    <t>NON CONFORME</t>
  </si>
  <si>
    <t>Situation Stock Masse</t>
  </si>
  <si>
    <t>LIBERES</t>
  </si>
  <si>
    <t>NON LIBERES</t>
  </si>
  <si>
    <t>VENDUS NON EMPOTÉS</t>
  </si>
  <si>
    <t>REFONTE</t>
  </si>
  <si>
    <t>NC A VENDRE</t>
  </si>
  <si>
    <t>LOTS A REFONDRE</t>
  </si>
  <si>
    <t>Date Production</t>
  </si>
  <si>
    <t>Numero de lot</t>
  </si>
  <si>
    <t>Poids initial</t>
  </si>
  <si>
    <t>Poids réfondus</t>
  </si>
  <si>
    <t>Poids restant</t>
  </si>
  <si>
    <t>Suivi réfonte</t>
  </si>
  <si>
    <t>POIDS BRUT</t>
  </si>
  <si>
    <t>LES LOTS DE MASSE DE CACAO VENDUS NON EMBARQUES</t>
  </si>
  <si>
    <t>LES LOTS DE MASSE DE CACAO EN STOCK</t>
  </si>
  <si>
    <t>DATE</t>
  </si>
  <si>
    <t>NBRE-LOT</t>
  </si>
  <si>
    <t>N° LOT PRODUIT</t>
  </si>
  <si>
    <t>NATURE</t>
  </si>
  <si>
    <t>NOMBRE  PALETTE</t>
  </si>
  <si>
    <t>NOMBRE  CARTON</t>
  </si>
  <si>
    <t>POIDS NET</t>
  </si>
  <si>
    <t>STATUT</t>
  </si>
  <si>
    <t>OT</t>
  </si>
  <si>
    <t>CLIENT</t>
  </si>
  <si>
    <t>Masse de Cacao</t>
  </si>
  <si>
    <t>NC-VENDU</t>
  </si>
  <si>
    <t>DIVERS</t>
  </si>
  <si>
    <t>CARTON ENDO</t>
  </si>
  <si>
    <t>NC-A VENDRE</t>
  </si>
  <si>
    <t>20 896</t>
  </si>
  <si>
    <t>20 915</t>
  </si>
  <si>
    <t>20 859</t>
  </si>
  <si>
    <t>20 830</t>
  </si>
  <si>
    <t>20 881</t>
  </si>
  <si>
    <t>20 908</t>
  </si>
  <si>
    <t>Situation Stock TOURTEAU</t>
  </si>
  <si>
    <t>LES LOTS DE TOURTEAU DE CACAO VENDUS NON EMBARQUES</t>
  </si>
  <si>
    <t>LES LOTS DE TOURTEAU DE CACAO EN STOCK</t>
  </si>
  <si>
    <t>NBRE LOTS</t>
  </si>
  <si>
    <t>NBRE BB</t>
  </si>
  <si>
    <t>NUMERO BB</t>
  </si>
  <si>
    <t>TOURTEAUX</t>
  </si>
  <si>
    <t>TOURTEAU</t>
  </si>
  <si>
    <t>TOURTEAUT</t>
  </si>
  <si>
    <t>N</t>
  </si>
  <si>
    <t>Situation Stock Beurre</t>
  </si>
  <si>
    <t>LES LOTS DE BEURRE DE CACAO VENDUS NON EMBARQUES</t>
  </si>
  <si>
    <t>LES LOTS DE BEURRE DE CACAO EN STOCK</t>
  </si>
  <si>
    <t>Beurre de cacao</t>
  </si>
  <si>
    <t>STOCk DISPO LIBERE</t>
  </si>
  <si>
    <t>STOCK DISPO EN ATTENTE LIBERATION</t>
  </si>
  <si>
    <t>STOCK DISPO N.C</t>
  </si>
  <si>
    <t>TOTAL CUMULE / PRODUIT</t>
  </si>
  <si>
    <t>MASSE</t>
  </si>
  <si>
    <t>BEURRE</t>
  </si>
  <si>
    <t>Nbre de Lot</t>
  </si>
  <si>
    <t>N° Lot</t>
  </si>
  <si>
    <t>Palettes Pesées</t>
  </si>
  <si>
    <t>N° Pal</t>
  </si>
  <si>
    <t>Poids Brut</t>
  </si>
  <si>
    <t>Tare Palette</t>
  </si>
  <si>
    <t>Tare Emballage</t>
  </si>
  <si>
    <t>Poids Net</t>
  </si>
  <si>
    <t>P17</t>
  </si>
  <si>
    <t>P15</t>
  </si>
  <si>
    <t>P5</t>
  </si>
  <si>
    <t>P1:1039kgs P15:1037kgs P 1:995kgs P16:1037kgs</t>
  </si>
  <si>
    <t xml:space="preserve">Poids Net </t>
  </si>
  <si>
    <t xml:space="preserve">P17:1037kgs P15:1036kgs  P5:1038 kgs  P19:1035 kgs P10:1039kgs </t>
  </si>
  <si>
    <t>P17:1062kgs P20:1050kgs P 11:1037kgs P14:1059kgs</t>
  </si>
  <si>
    <t>P7:1039kgs P13:1044kgs P 10:1039kgs P3:1041kgs</t>
  </si>
  <si>
    <t>P6:1036kgs P13:1036kgs P7:1040kgs P12:1038kgs</t>
  </si>
  <si>
    <t>P11:1043kgs P20:1042kgs P9:1040kgs P17:1041kgs</t>
  </si>
  <si>
    <t>P5:1048kgs P18:1047kgs P11:1053kgs P2:1048kgs</t>
  </si>
  <si>
    <t>P6:101048kgs P20:1045kgs P3:1046kgs P12:1046kgs</t>
  </si>
  <si>
    <t>P7:1047kgs P3:1047kgs P 2:1047kgs P15:1045kgs</t>
  </si>
  <si>
    <t>P3:1049kgs P12:1049kgs P 17:1040kgs P14:1055kgs</t>
  </si>
  <si>
    <t>P8:1045kgs P20:1046kgs P2:1042kgs P9:1045kgs</t>
  </si>
  <si>
    <t>P3:1037kgs P16:1039kgs P13:1039kgs P18:1040kgs</t>
  </si>
  <si>
    <t>P1:1042kgs P9:1043kgs P 12:1043kgs P16:1045kgs</t>
  </si>
  <si>
    <t>P19:1044kgs P8:1040kgs P 17:1043kgs P5:1039kgs</t>
  </si>
  <si>
    <t>P4:1046kgs P7:1043kgs P 12:1047kgs P1:1045kgs</t>
  </si>
  <si>
    <t>P3:1039kgs P16:1037kgs P 6:1042kgs P10:1037kgs</t>
  </si>
  <si>
    <t>P9:1038kgs P17:1038kgs P 7:1039kgs P20:1041kgs</t>
  </si>
  <si>
    <t>P1:1041kgs P16:1039kgs P 3:1038kgs P14:1041kgs</t>
  </si>
  <si>
    <t>P18:1041kgs P2:1040kgs P 13:1043kgs P15:1043kgs</t>
  </si>
  <si>
    <t>P7:1037kgs P14:1042kgs P 9:1038kgs P11:1037kgs</t>
  </si>
  <si>
    <t>P2:1038kgs P6:1050kgs P18:1055kgs P12:1052kgs</t>
  </si>
  <si>
    <t>P6:1044kgs P4:1054kgs P11:1058kgs P9:1054kgs</t>
  </si>
  <si>
    <t>P1:1046kgs P3:1044kgs P 7:1040kgs P20:1043kgs</t>
  </si>
  <si>
    <t>P3:1043kgs P7:1044kgs P 19:1044kgs P13:1047kgs</t>
  </si>
  <si>
    <t>P6:1041kgs P17:1040kgs P 11:1042kgs P8:1037kgs</t>
  </si>
  <si>
    <t>P16:1035kgs P8:1039kgs P 14:1033kgs P20:1035kgs</t>
  </si>
  <si>
    <t>P17:1036kgs P3:1036kgs P 13:1039kgs P9:1035kgs</t>
  </si>
  <si>
    <t>P13:1042kgs P15:1040kgs P 1:1038kgs P16:1045kgs</t>
  </si>
  <si>
    <t>P9:1044kgs P17:1038kgs P 12:1038kgs P20:1039kgs</t>
  </si>
  <si>
    <t>P1:1037kgs P15:1046kgs P 8:1038kgs P19:1040kgs</t>
  </si>
  <si>
    <t>P6:1044kgs P13:1041kgs P 9:1040kgs P20:1041kgs</t>
  </si>
  <si>
    <t>P10:1042kgs P17:1043kgs P 20:1038kgs P16:1042kgs</t>
  </si>
  <si>
    <t>P20:1037kgs P11:1041kgs P 7:1035kgs P13:1035kgs</t>
  </si>
  <si>
    <t>P7:1037kgs P10:1038kgs P 9:1038kgs P19:1049kgs</t>
  </si>
  <si>
    <t>P1:1042kgs P15:1048kgs P 8:1042kgs P19:1047kgs</t>
  </si>
  <si>
    <t>P1:1047kgs P15:1061kgs P 9:1045kgs P14:1051kgs</t>
  </si>
  <si>
    <t>P19:1040kgs P16:1045kgs P20:1040kgs P17:1045kgs</t>
  </si>
  <si>
    <t>P6:1040kgs P1:1044kgs P 9:1038kgs P13:1050kgs</t>
  </si>
  <si>
    <t>P19:1046kgs P20:1046kgs P15:1046kgs P7:1043kgs</t>
  </si>
  <si>
    <t>P1:1045kgs P17:1047kgs P 11:1051kgs P18:1047kgs</t>
  </si>
  <si>
    <t>P9:11039kgs P15:1029kgs P 8:1034kgs P19:1033kgs</t>
  </si>
  <si>
    <t>P2:1039kgs P16:1035kgs P 9:1039kgs P18:1043kgs</t>
  </si>
  <si>
    <t>P11:1039kgs P20:1041kgs P3:1039kgs P16:1035kgs</t>
  </si>
  <si>
    <t>P3:1044kgs P16:1037kgs P11:1050kgs P17:1041kgs</t>
  </si>
  <si>
    <t>P3:1048kgs P12:1043kgs P 20:1045kgs P19:1046kgs</t>
  </si>
  <si>
    <t>P6:1043kgs P15:1039kgs P 12:1048kgs P7:1046kgs</t>
  </si>
  <si>
    <t>P18:1044kgs P16:1043kgs P12:1037kgs P16:1043kgs</t>
  </si>
  <si>
    <t>P3:1034kgs P1:1037kgs P 8:1042kgs P12:101041kgs</t>
  </si>
  <si>
    <t>P3:1045kgs P15:1043kgs P 11:1045kgs P13:1044kgs</t>
  </si>
  <si>
    <t>P7:1045kgs P16:1041kgs P 11:1045kgs P20:1039kgs</t>
  </si>
  <si>
    <t>P8:1042kgs P20:1042kgs P 17:1043kgs P5:1041kgs</t>
  </si>
  <si>
    <t>P7:1041kgs P16:1049kgs P 14:1036kgs P18:1049kgs</t>
  </si>
  <si>
    <t>P4; P5</t>
  </si>
  <si>
    <t>P1</t>
  </si>
  <si>
    <t>P4</t>
  </si>
  <si>
    <t>P18</t>
  </si>
  <si>
    <t>P7</t>
  </si>
  <si>
    <t>P20</t>
  </si>
  <si>
    <t>P8</t>
  </si>
  <si>
    <t>P16</t>
  </si>
  <si>
    <t>P3</t>
  </si>
  <si>
    <t>P9</t>
  </si>
  <si>
    <t>P6</t>
  </si>
  <si>
    <t>P11</t>
  </si>
  <si>
    <t>P2</t>
  </si>
  <si>
    <t>P1 à P15</t>
  </si>
  <si>
    <t>S</t>
  </si>
  <si>
    <t>P15,P20</t>
  </si>
  <si>
    <t>DECHETS MASSE</t>
  </si>
  <si>
    <t>DECHETS TOURTEAUX</t>
  </si>
  <si>
    <t>PRODUCTION</t>
  </si>
  <si>
    <t xml:space="preserve">PRODUCTION </t>
  </si>
  <si>
    <t>REFONTE MASSE</t>
  </si>
  <si>
    <t>REFONTE BEURRE</t>
  </si>
  <si>
    <t>DECHETS PRODUCTION MASSE &amp; TOURTEAUX A VENDRE LOCALEMENT</t>
  </si>
  <si>
    <t>DECHETS PRODUCTION MASSE &amp; BEURRE A REFONDRE</t>
  </si>
  <si>
    <t>NC A VENDRE (export)</t>
  </si>
  <si>
    <t>DECHETS MASSE MOUILLÉ</t>
  </si>
  <si>
    <t>P19-P20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</si>
</sst>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\-??_-;_-@_-"/>
    <numFmt numFmtId="165" formatCode="[$-40C]dd/mm/yyyy"/>
    <numFmt numFmtId="166" formatCode="\ #,##0&quot;   &quot;;\-#,##0&quot;   &quot;;&quot; -&quot;00&quot;   &quot;;\ @\ "/>
  </numFmts>
  <fonts count="38" x14ac:knownFonts="1">
    <font>
      <sz val="11"/>
      <color rgb="FF000000"/>
      <name val="Calibri"/>
      <charset val="1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22"/>
      <color rgb="FF000000"/>
      <name val="Calibri"/>
      <family val="2"/>
    </font>
    <font>
      <sz val="24"/>
      <color rgb="FF006100"/>
      <name val="Calibri"/>
      <family val="2"/>
    </font>
    <font>
      <sz val="36"/>
      <color rgb="FF006100"/>
      <name val="Calibri"/>
      <family val="2"/>
    </font>
    <font>
      <u/>
      <sz val="24"/>
      <color rgb="FF006100"/>
      <name val="Calibri"/>
      <family val="2"/>
    </font>
    <font>
      <b/>
      <sz val="16"/>
      <color rgb="FF548235"/>
      <name val="Calibri"/>
      <family val="2"/>
    </font>
    <font>
      <sz val="11"/>
      <color rgb="FFC9211E"/>
      <name val="Calibri"/>
      <family val="2"/>
    </font>
    <font>
      <sz val="24"/>
      <color rgb="FF9C0006"/>
      <name val="Calibri"/>
      <family val="2"/>
    </font>
    <font>
      <u/>
      <sz val="24"/>
      <color rgb="FF9C0006"/>
      <name val="Calibri"/>
      <family val="2"/>
    </font>
    <font>
      <b/>
      <sz val="16"/>
      <color rgb="FFFF6D6D"/>
      <name val="Calibri"/>
      <family val="2"/>
    </font>
    <font>
      <b/>
      <sz val="11"/>
      <name val="Calibri"/>
      <family val="2"/>
    </font>
    <font>
      <sz val="24"/>
      <color rgb="FF9C5700"/>
      <name val="Calibri"/>
      <family val="2"/>
    </font>
    <font>
      <u/>
      <sz val="24"/>
      <color rgb="FF9C5700"/>
      <name val="Calibri"/>
      <family val="2"/>
    </font>
    <font>
      <sz val="18"/>
      <color rgb="FFFFFFFF"/>
      <name val="Calibri"/>
      <family val="2"/>
    </font>
    <font>
      <b/>
      <sz val="22"/>
      <color rgb="FFFFFFFF"/>
      <name val="Calibri"/>
      <family val="2"/>
    </font>
    <font>
      <b/>
      <sz val="16"/>
      <color rgb="FFBF9000"/>
      <name val="Calibri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8"/>
      <name val="Calibri"/>
      <family val="2"/>
    </font>
    <font>
      <b/>
      <sz val="22"/>
      <name val="Calibri"/>
      <family val="2"/>
    </font>
    <font>
      <b/>
      <sz val="10"/>
      <name val="Tahoma"/>
      <family val="2"/>
    </font>
    <font>
      <b/>
      <sz val="12"/>
      <color rgb="FF000000"/>
      <name val="Calibri"/>
      <family val="2"/>
    </font>
    <font>
      <sz val="24"/>
      <color rgb="FF000000"/>
      <name val="Calibri"/>
      <family val="2"/>
    </font>
    <font>
      <sz val="11"/>
      <color rgb="FF9C0006"/>
      <name val="Calibri"/>
      <family val="2"/>
    </font>
    <font>
      <sz val="11"/>
      <color rgb="FF006100"/>
      <name val="Calibri"/>
      <family val="2"/>
    </font>
    <font>
      <sz val="11"/>
      <color rgb="FF9C57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FF0000"/>
      <name val="Tahoma"/>
      <family val="2"/>
    </font>
    <font>
      <sz val="16"/>
      <color rgb="FFFFFFFF"/>
      <name val="Calibri"/>
      <family val="2"/>
    </font>
    <font>
      <sz val="14"/>
      <color theme="1"/>
      <name val="Calibri"/>
      <family val="2"/>
    </font>
    <font>
      <b/>
      <sz val="10"/>
      <color theme="1"/>
      <name val="Tahoma"/>
      <family val="2"/>
    </font>
  </fonts>
  <fills count="42">
    <fill>
      <patternFill patternType="none"/>
    </fill>
    <fill>
      <patternFill patternType="gray125"/>
    </fill>
    <fill>
      <patternFill patternType="solid">
        <fgColor rgb="FFB74B09"/>
        <bgColor rgb="FF9C5700"/>
      </patternFill>
    </fill>
    <fill>
      <patternFill patternType="solid">
        <fgColor rgb="FFD9D9D9"/>
        <bgColor rgb="FFBDD7EE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4472C4"/>
      </patternFill>
    </fill>
    <fill>
      <patternFill patternType="solid">
        <fgColor rgb="FFF4B183"/>
        <bgColor rgb="FFFFAA95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C5E0B4"/>
      </patternFill>
    </fill>
    <fill>
      <patternFill patternType="solid">
        <fgColor rgb="FFAFABAB"/>
        <bgColor rgb="FF9DC3E6"/>
      </patternFill>
    </fill>
    <fill>
      <patternFill patternType="solid">
        <fgColor rgb="FFED7D31"/>
        <bgColor rgb="FFF57A27"/>
      </patternFill>
    </fill>
    <fill>
      <patternFill patternType="solid">
        <fgColor theme="7" tint="0.39991454817346722"/>
        <bgColor indexed="64"/>
      </patternFill>
    </fill>
    <fill>
      <patternFill patternType="solid">
        <fgColor rgb="FFFFC7CE"/>
        <bgColor rgb="FFF8CBAD"/>
      </patternFill>
    </fill>
    <fill>
      <patternFill patternType="solid">
        <fgColor rgb="FFFFEB9C"/>
        <bgColor rgb="FFFFE699"/>
      </patternFill>
    </fill>
    <fill>
      <patternFill patternType="solid">
        <fgColor rgb="FFFF0000"/>
        <bgColor rgb="FFC9211E"/>
      </patternFill>
    </fill>
    <fill>
      <patternFill patternType="solid">
        <fgColor rgb="FFFFC000"/>
        <bgColor rgb="FFF4B183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A9D18E"/>
        <bgColor rgb="FFC5E0B4"/>
      </patternFill>
    </fill>
    <fill>
      <patternFill patternType="solid">
        <fgColor theme="0"/>
        <bgColor rgb="FFF2F2F2"/>
      </patternFill>
    </fill>
    <fill>
      <patternFill patternType="solid">
        <fgColor theme="5"/>
        <bgColor indexed="64"/>
      </patternFill>
    </fill>
    <fill>
      <patternFill patternType="solid">
        <fgColor theme="7" tint="0.79995117038483843"/>
        <bgColor rgb="FFF2F2F2"/>
      </patternFill>
    </fill>
    <fill>
      <patternFill patternType="solid">
        <fgColor rgb="FF4472C4"/>
        <bgColor rgb="FF2E75B6"/>
      </patternFill>
    </fill>
    <fill>
      <patternFill patternType="solid">
        <fgColor rgb="FFBDD7EE"/>
        <bgColor rgb="FFD9D9D9"/>
      </patternFill>
    </fill>
    <fill>
      <patternFill patternType="solid">
        <fgColor rgb="FFFF6D6D"/>
        <bgColor rgb="FFED7D31"/>
      </patternFill>
    </fill>
    <fill>
      <patternFill patternType="solid">
        <fgColor rgb="FF5EB91E"/>
        <bgColor rgb="FF78B64E"/>
      </patternFill>
    </fill>
    <fill>
      <patternFill patternType="solid">
        <fgColor theme="9" tint="0.39994506668294322"/>
        <bgColor rgb="FFF2F2F2"/>
      </patternFill>
    </fill>
    <fill>
      <patternFill patternType="solid">
        <fgColor rgb="FF00FF99"/>
        <bgColor rgb="FF00FF00"/>
      </patternFill>
    </fill>
    <fill>
      <patternFill patternType="solid">
        <fgColor rgb="FFFFAA95"/>
        <bgColor rgb="FFF4B183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rgb="FFF2F2F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2E75B6"/>
      </patternFill>
    </fill>
    <fill>
      <patternFill patternType="solid">
        <fgColor theme="7" tint="0.79998168889431442"/>
        <bgColor rgb="FFF2F2F2"/>
      </patternFill>
    </fill>
    <fill>
      <patternFill patternType="solid">
        <fgColor theme="0"/>
        <bgColor rgb="FF2E75B6"/>
      </patternFill>
    </fill>
    <fill>
      <patternFill patternType="solid">
        <fgColor theme="7" tint="0.59999389629810485"/>
        <bgColor rgb="FFC9211E"/>
      </patternFill>
    </fill>
    <fill>
      <patternFill patternType="solid">
        <fgColor theme="7" tint="0.59999389629810485"/>
        <bgColor rgb="FFFFAA95"/>
      </patternFill>
    </fill>
    <fill>
      <patternFill patternType="solid">
        <fgColor theme="9" tint="0.59999389629810485"/>
        <bgColor rgb="FFFFAA95"/>
      </patternFill>
    </fill>
    <fill>
      <patternFill patternType="solid">
        <fgColor theme="0"/>
        <bgColor rgb="FFED7D31"/>
      </patternFill>
    </fill>
    <fill>
      <patternFill patternType="solid">
        <fgColor theme="5" tint="0.39997558519241921"/>
        <bgColor rgb="FFFFAA9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2E75B6"/>
      </patternFill>
    </fill>
  </fills>
  <borders count="4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medium">
        <color rgb="FF78B64E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rgb="FFFF6D6D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rgb="FFFFC000"/>
      </bottom>
      <diagonal/>
    </border>
    <border>
      <left/>
      <right/>
      <top/>
      <bottom style="medium">
        <color rgb="FFFFFFF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rgb="FF26262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ck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</borders>
  <cellStyleXfs count="5">
    <xf numFmtId="0" fontId="0" fillId="0" borderId="0"/>
    <xf numFmtId="164" fontId="31" fillId="0" borderId="0" applyBorder="0" applyProtection="0"/>
    <xf numFmtId="0" fontId="28" fillId="13" borderId="0" applyBorder="0" applyProtection="0"/>
    <xf numFmtId="0" fontId="29" fillId="9" borderId="0" applyBorder="0" applyProtection="0"/>
    <xf numFmtId="0" fontId="30" fillId="14" borderId="0" applyBorder="0" applyProtection="0"/>
  </cellStyleXfs>
  <cellXfs count="264">
    <xf numFmtId="0" fontId="0" fillId="0" borderId="0" xfId="0"/>
    <xf numFmtId="0" fontId="3" fillId="4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3" fillId="4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9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4" borderId="6" xfId="0" applyFill="1" applyBorder="1"/>
    <xf numFmtId="0" fontId="4" fillId="4" borderId="9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4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0" fillId="4" borderId="0" xfId="0" applyFill="1"/>
    <xf numFmtId="0" fontId="0" fillId="7" borderId="0" xfId="0" applyFill="1"/>
    <xf numFmtId="0" fontId="5" fillId="7" borderId="0" xfId="0" applyFont="1" applyFill="1"/>
    <xf numFmtId="0" fontId="5" fillId="0" borderId="0" xfId="0" applyFont="1"/>
    <xf numFmtId="0" fontId="4" fillId="0" borderId="0" xfId="0" applyFont="1"/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wrapText="1"/>
    </xf>
    <xf numFmtId="0" fontId="4" fillId="0" borderId="6" xfId="0" applyFont="1" applyBorder="1"/>
    <xf numFmtId="3" fontId="4" fillId="0" borderId="6" xfId="0" applyNumberFormat="1" applyFont="1" applyBorder="1"/>
    <xf numFmtId="0" fontId="0" fillId="8" borderId="0" xfId="0" applyFill="1"/>
    <xf numFmtId="0" fontId="6" fillId="8" borderId="0" xfId="0" applyFont="1" applyFill="1" applyAlignment="1">
      <alignment horizontal="left" vertical="top"/>
    </xf>
    <xf numFmtId="0" fontId="7" fillId="9" borderId="0" xfId="3" applyFont="1" applyBorder="1" applyAlignment="1" applyProtection="1">
      <alignment vertical="center"/>
    </xf>
    <xf numFmtId="0" fontId="8" fillId="9" borderId="0" xfId="3" applyFont="1" applyBorder="1" applyProtection="1"/>
    <xf numFmtId="3" fontId="9" fillId="9" borderId="14" xfId="3" applyNumberFormat="1" applyFont="1" applyBorder="1" applyAlignment="1" applyProtection="1">
      <alignment horizontal="right" vertical="center"/>
    </xf>
    <xf numFmtId="0" fontId="10" fillId="8" borderId="0" xfId="0" applyFont="1" applyFill="1" applyAlignment="1">
      <alignment horizontal="right" vertical="center"/>
    </xf>
    <xf numFmtId="0" fontId="0" fillId="10" borderId="15" xfId="0" applyFill="1" applyBorder="1"/>
    <xf numFmtId="0" fontId="3" fillId="11" borderId="9" xfId="0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wrapText="1"/>
    </xf>
    <xf numFmtId="0" fontId="3" fillId="11" borderId="9" xfId="0" applyFont="1" applyFill="1" applyBorder="1" applyAlignment="1">
      <alignment wrapText="1"/>
    </xf>
    <xf numFmtId="3" fontId="0" fillId="12" borderId="6" xfId="0" applyNumberFormat="1" applyFill="1" applyBorder="1" applyAlignment="1">
      <alignment horizontal="center" vertical="center"/>
    </xf>
    <xf numFmtId="0" fontId="0" fillId="12" borderId="6" xfId="0" applyFill="1" applyBorder="1"/>
    <xf numFmtId="0" fontId="3" fillId="10" borderId="5" xfId="0" applyFont="1" applyFill="1" applyBorder="1"/>
    <xf numFmtId="0" fontId="11" fillId="8" borderId="0" xfId="0" applyFont="1" applyFill="1"/>
    <xf numFmtId="0" fontId="0" fillId="8" borderId="0" xfId="0" applyFill="1" applyAlignment="1">
      <alignment horizontal="center"/>
    </xf>
    <xf numFmtId="0" fontId="12" fillId="13" borderId="0" xfId="2" applyFont="1" applyBorder="1" applyAlignment="1" applyProtection="1">
      <alignment vertical="center"/>
    </xf>
    <xf numFmtId="0" fontId="12" fillId="13" borderId="0" xfId="2" applyFont="1" applyBorder="1" applyProtection="1"/>
    <xf numFmtId="0" fontId="14" fillId="8" borderId="0" xfId="0" applyFont="1" applyFill="1" applyAlignment="1">
      <alignment horizontal="right" vertical="center"/>
    </xf>
    <xf numFmtId="0" fontId="0" fillId="10" borderId="17" xfId="0" applyFill="1" applyBorder="1"/>
    <xf numFmtId="0" fontId="3" fillId="11" borderId="18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wrapText="1"/>
    </xf>
    <xf numFmtId="165" fontId="0" fillId="0" borderId="6" xfId="0" applyNumberFormat="1" applyBorder="1" applyAlignment="1" applyProtection="1">
      <alignment horizontal="left"/>
      <protection locked="0"/>
    </xf>
    <xf numFmtId="165" fontId="0" fillId="7" borderId="6" xfId="0" applyNumberFormat="1" applyFill="1" applyBorder="1" applyAlignment="1" applyProtection="1">
      <alignment horizontal="left"/>
      <protection locked="0"/>
    </xf>
    <xf numFmtId="0" fontId="15" fillId="10" borderId="5" xfId="0" applyFont="1" applyFill="1" applyBorder="1"/>
    <xf numFmtId="0" fontId="16" fillId="14" borderId="0" xfId="4" applyFont="1" applyBorder="1" applyAlignment="1" applyProtection="1">
      <alignment vertical="center"/>
    </xf>
    <xf numFmtId="0" fontId="16" fillId="14" borderId="0" xfId="4" applyFont="1" applyBorder="1" applyProtection="1"/>
    <xf numFmtId="3" fontId="16" fillId="14" borderId="0" xfId="4" applyNumberFormat="1" applyFont="1" applyBorder="1" applyAlignment="1" applyProtection="1">
      <alignment vertical="center"/>
    </xf>
    <xf numFmtId="3" fontId="17" fillId="14" borderId="20" xfId="4" applyNumberFormat="1" applyFont="1" applyBorder="1" applyAlignment="1" applyProtection="1">
      <alignment vertical="center"/>
    </xf>
    <xf numFmtId="0" fontId="18" fillId="15" borderId="0" xfId="4" applyFont="1" applyFill="1" applyBorder="1" applyAlignment="1" applyProtection="1">
      <alignment vertical="center"/>
    </xf>
    <xf numFmtId="3" fontId="19" fillId="15" borderId="21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right" vertical="center"/>
    </xf>
    <xf numFmtId="0" fontId="0" fillId="10" borderId="0" xfId="0" applyFill="1"/>
    <xf numFmtId="0" fontId="21" fillId="0" borderId="6" xfId="0" applyFont="1" applyBorder="1" applyAlignment="1">
      <alignment horizontal="center" wrapText="1"/>
    </xf>
    <xf numFmtId="0" fontId="22" fillId="0" borderId="6" xfId="0" applyFont="1" applyBorder="1" applyAlignment="1">
      <alignment horizontal="center"/>
    </xf>
    <xf numFmtId="0" fontId="3" fillId="10" borderId="15" xfId="0" applyFont="1" applyFill="1" applyBorder="1"/>
    <xf numFmtId="3" fontId="0" fillId="8" borderId="0" xfId="0" applyNumberFormat="1" applyFill="1" applyAlignment="1">
      <alignment horizontal="center" vertical="center"/>
    </xf>
    <xf numFmtId="0" fontId="3" fillId="8" borderId="0" xfId="0" applyFont="1" applyFill="1"/>
    <xf numFmtId="0" fontId="3" fillId="11" borderId="6" xfId="0" applyFont="1" applyFill="1" applyBorder="1" applyAlignment="1">
      <alignment wrapText="1"/>
    </xf>
    <xf numFmtId="0" fontId="3" fillId="11" borderId="22" xfId="0" applyFont="1" applyFill="1" applyBorder="1" applyAlignment="1">
      <alignment horizontal="center" vertical="center"/>
    </xf>
    <xf numFmtId="3" fontId="3" fillId="16" borderId="6" xfId="0" applyNumberFormat="1" applyFont="1" applyFill="1" applyBorder="1" applyAlignment="1">
      <alignment horizontal="center" vertical="center" wrapText="1"/>
    </xf>
    <xf numFmtId="0" fontId="3" fillId="11" borderId="23" xfId="0" applyFont="1" applyFill="1" applyBorder="1" applyAlignment="1">
      <alignment horizontal="center" vertical="center"/>
    </xf>
    <xf numFmtId="0" fontId="0" fillId="17" borderId="6" xfId="0" applyFill="1" applyBorder="1" applyAlignment="1">
      <alignment horizontal="left" vertical="center" indent="1"/>
    </xf>
    <xf numFmtId="165" fontId="22" fillId="0" borderId="6" xfId="0" applyNumberFormat="1" applyFont="1" applyBorder="1" applyAlignment="1">
      <alignment horizontal="center" vertical="center"/>
    </xf>
    <xf numFmtId="165" fontId="21" fillId="0" borderId="6" xfId="0" applyNumberFormat="1" applyFont="1" applyBorder="1" applyAlignment="1">
      <alignment horizontal="center" vertical="center"/>
    </xf>
    <xf numFmtId="0" fontId="0" fillId="7" borderId="6" xfId="0" applyFill="1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4" borderId="0" xfId="0" applyFill="1" applyAlignment="1">
      <alignment horizontal="left" vertical="center" indent="1"/>
    </xf>
    <xf numFmtId="3" fontId="0" fillId="4" borderId="0" xfId="0" applyNumberFormat="1" applyFill="1" applyAlignment="1">
      <alignment horizontal="center" vertical="center"/>
    </xf>
    <xf numFmtId="0" fontId="23" fillId="6" borderId="0" xfId="4" applyFont="1" applyFill="1" applyBorder="1" applyAlignment="1" applyProtection="1">
      <alignment horizontal="center" vertical="center" wrapText="1"/>
    </xf>
    <xf numFmtId="3" fontId="24" fillId="6" borderId="24" xfId="0" applyNumberFormat="1" applyFont="1" applyFill="1" applyBorder="1" applyAlignment="1">
      <alignment horizontal="center" vertical="center"/>
    </xf>
    <xf numFmtId="0" fontId="3" fillId="10" borderId="0" xfId="0" applyFont="1" applyFill="1"/>
    <xf numFmtId="0" fontId="21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/>
    </xf>
    <xf numFmtId="0" fontId="22" fillId="0" borderId="6" xfId="0" applyFont="1" applyBorder="1"/>
    <xf numFmtId="0" fontId="21" fillId="0" borderId="6" xfId="0" applyFont="1" applyBorder="1" applyAlignment="1">
      <alignment horizontal="center"/>
    </xf>
    <xf numFmtId="0" fontId="0" fillId="0" borderId="15" xfId="0" applyBorder="1"/>
    <xf numFmtId="166" fontId="21" fillId="0" borderId="6" xfId="1" applyNumberFormat="1" applyFont="1" applyBorder="1" applyAlignment="1" applyProtection="1">
      <alignment horizontal="center" vertical="center"/>
    </xf>
    <xf numFmtId="3" fontId="25" fillId="0" borderId="0" xfId="0" applyNumberFormat="1" applyFont="1" applyAlignment="1">
      <alignment horizontal="center"/>
    </xf>
    <xf numFmtId="0" fontId="26" fillId="4" borderId="0" xfId="0" applyFont="1" applyFill="1"/>
    <xf numFmtId="0" fontId="12" fillId="6" borderId="0" xfId="2" applyFont="1" applyFill="1" applyBorder="1" applyAlignment="1" applyProtection="1">
      <alignment vertical="center"/>
    </xf>
    <xf numFmtId="0" fontId="12" fillId="6" borderId="0" xfId="2" applyFont="1" applyFill="1" applyBorder="1" applyProtection="1"/>
    <xf numFmtId="0" fontId="3" fillId="11" borderId="6" xfId="0" applyFont="1" applyFill="1" applyBorder="1" applyAlignment="1">
      <alignment horizontal="left" wrapText="1"/>
    </xf>
    <xf numFmtId="0" fontId="0" fillId="6" borderId="6" xfId="0" applyFill="1" applyBorder="1"/>
    <xf numFmtId="165" fontId="0" fillId="4" borderId="15" xfId="0" applyNumberFormat="1" applyFill="1" applyBorder="1" applyAlignment="1" applyProtection="1">
      <alignment horizontal="left"/>
      <protection locked="0"/>
    </xf>
    <xf numFmtId="165" fontId="0" fillId="4" borderId="26" xfId="0" applyNumberFormat="1" applyFill="1" applyBorder="1" applyAlignment="1" applyProtection="1">
      <alignment horizontal="left"/>
      <protection locked="0"/>
    </xf>
    <xf numFmtId="0" fontId="0" fillId="0" borderId="26" xfId="0" applyBorder="1"/>
    <xf numFmtId="0" fontId="0" fillId="0" borderId="27" xfId="0" applyBorder="1"/>
    <xf numFmtId="165" fontId="0" fillId="4" borderId="27" xfId="0" applyNumberFormat="1" applyFill="1" applyBorder="1" applyAlignment="1" applyProtection="1">
      <alignment horizontal="left"/>
      <protection locked="0"/>
    </xf>
    <xf numFmtId="0" fontId="0" fillId="17" borderId="27" xfId="0" applyFill="1" applyBorder="1"/>
    <xf numFmtId="0" fontId="0" fillId="17" borderId="15" xfId="0" applyFill="1" applyBorder="1"/>
    <xf numFmtId="0" fontId="0" fillId="17" borderId="26" xfId="0" applyFill="1" applyBorder="1"/>
    <xf numFmtId="3" fontId="16" fillId="6" borderId="0" xfId="4" applyNumberFormat="1" applyFont="1" applyFill="1" applyBorder="1" applyAlignment="1" applyProtection="1">
      <alignment vertical="center"/>
    </xf>
    <xf numFmtId="3" fontId="17" fillId="6" borderId="20" xfId="4" applyNumberFormat="1" applyFont="1" applyFill="1" applyBorder="1" applyAlignment="1" applyProtection="1">
      <alignment vertical="center"/>
    </xf>
    <xf numFmtId="0" fontId="0" fillId="17" borderId="31" xfId="0" applyFill="1" applyBorder="1" applyAlignment="1">
      <alignment horizontal="center"/>
    </xf>
    <xf numFmtId="0" fontId="0" fillId="17" borderId="5" xfId="0" applyFill="1" applyBorder="1" applyAlignment="1">
      <alignment horizontal="left" vertical="center" indent="1"/>
    </xf>
    <xf numFmtId="0" fontId="0" fillId="17" borderId="29" xfId="0" applyFill="1" applyBorder="1" applyAlignment="1">
      <alignment horizontal="center"/>
    </xf>
    <xf numFmtId="0" fontId="0" fillId="17" borderId="30" xfId="0" applyFill="1" applyBorder="1" applyAlignment="1">
      <alignment horizontal="center"/>
    </xf>
    <xf numFmtId="0" fontId="0" fillId="17" borderId="25" xfId="0" applyFill="1" applyBorder="1" applyAlignment="1">
      <alignment horizontal="left" vertical="center" indent="1"/>
    </xf>
    <xf numFmtId="165" fontId="0" fillId="19" borderId="15" xfId="0" applyNumberFormat="1" applyFill="1" applyBorder="1" applyAlignment="1" applyProtection="1">
      <alignment horizontal="left"/>
      <protection locked="0"/>
    </xf>
    <xf numFmtId="0" fontId="0" fillId="7" borderId="15" xfId="0" applyFill="1" applyBorder="1"/>
    <xf numFmtId="165" fontId="0" fillId="4" borderId="32" xfId="0" applyNumberFormat="1" applyFill="1" applyBorder="1" applyAlignment="1" applyProtection="1">
      <alignment horizontal="left"/>
      <protection locked="0"/>
    </xf>
    <xf numFmtId="0" fontId="0" fillId="0" borderId="32" xfId="0" applyBorder="1"/>
    <xf numFmtId="0" fontId="0" fillId="17" borderId="32" xfId="0" applyFill="1" applyBorder="1"/>
    <xf numFmtId="0" fontId="0" fillId="17" borderId="33" xfId="0" applyFill="1" applyBorder="1"/>
    <xf numFmtId="0" fontId="0" fillId="17" borderId="34" xfId="0" applyFill="1" applyBorder="1" applyAlignment="1">
      <alignment horizontal="center"/>
    </xf>
    <xf numFmtId="0" fontId="0" fillId="17" borderId="3" xfId="0" applyFill="1" applyBorder="1" applyAlignment="1">
      <alignment horizontal="left" vertical="center" indent="1"/>
    </xf>
    <xf numFmtId="0" fontId="0" fillId="20" borderId="0" xfId="0" applyFill="1"/>
    <xf numFmtId="165" fontId="0" fillId="21" borderId="15" xfId="0" applyNumberFormat="1" applyFill="1" applyBorder="1" applyAlignment="1" applyProtection="1">
      <alignment horizontal="left"/>
      <protection locked="0"/>
    </xf>
    <xf numFmtId="0" fontId="0" fillId="22" borderId="27" xfId="0" applyFill="1" applyBorder="1"/>
    <xf numFmtId="0" fontId="0" fillId="0" borderId="31" xfId="0" applyBorder="1" applyAlignment="1">
      <alignment horizontal="center"/>
    </xf>
    <xf numFmtId="0" fontId="0" fillId="22" borderId="15" xfId="0" applyFill="1" applyBorder="1"/>
    <xf numFmtId="0" fontId="0" fillId="0" borderId="29" xfId="0" applyBorder="1" applyAlignment="1">
      <alignment horizontal="center"/>
    </xf>
    <xf numFmtId="0" fontId="0" fillId="4" borderId="15" xfId="0" applyFill="1" applyBorder="1"/>
    <xf numFmtId="3" fontId="0" fillId="16" borderId="6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19" borderId="15" xfId="0" applyFill="1" applyBorder="1"/>
    <xf numFmtId="0" fontId="22" fillId="0" borderId="9" xfId="0" applyFont="1" applyBorder="1" applyAlignment="1">
      <alignment horizontal="center"/>
    </xf>
    <xf numFmtId="0" fontId="22" fillId="23" borderId="35" xfId="0" applyFont="1" applyFill="1" applyBorder="1" applyAlignment="1">
      <alignment horizontal="center"/>
    </xf>
    <xf numFmtId="0" fontId="0" fillId="18" borderId="17" xfId="0" applyFill="1" applyBorder="1" applyAlignment="1">
      <alignment horizontal="left" vertical="center" indent="1"/>
    </xf>
    <xf numFmtId="165" fontId="22" fillId="24" borderId="6" xfId="0" applyNumberFormat="1" applyFont="1" applyFill="1" applyBorder="1" applyAlignment="1">
      <alignment horizontal="center" vertical="center"/>
    </xf>
    <xf numFmtId="165" fontId="21" fillId="24" borderId="6" xfId="0" applyNumberFormat="1" applyFont="1" applyFill="1" applyBorder="1" applyAlignment="1">
      <alignment horizontal="center" vertical="center"/>
    </xf>
    <xf numFmtId="165" fontId="22" fillId="4" borderId="6" xfId="0" applyNumberFormat="1" applyFont="1" applyFill="1" applyBorder="1" applyAlignment="1">
      <alignment horizontal="center" vertical="center"/>
    </xf>
    <xf numFmtId="165" fontId="21" fillId="25" borderId="6" xfId="0" applyNumberFormat="1" applyFont="1" applyFill="1" applyBorder="1" applyAlignment="1">
      <alignment horizontal="center" vertical="center"/>
    </xf>
    <xf numFmtId="165" fontId="22" fillId="24" borderId="6" xfId="0" applyNumberFormat="1" applyFont="1" applyFill="1" applyBorder="1" applyAlignment="1">
      <alignment horizontal="center"/>
    </xf>
    <xf numFmtId="165" fontId="22" fillId="4" borderId="6" xfId="0" applyNumberFormat="1" applyFont="1" applyFill="1" applyBorder="1" applyAlignment="1">
      <alignment horizontal="center"/>
    </xf>
    <xf numFmtId="165" fontId="21" fillId="4" borderId="6" xfId="0" applyNumberFormat="1" applyFont="1" applyFill="1" applyBorder="1" applyAlignment="1">
      <alignment horizontal="center"/>
    </xf>
    <xf numFmtId="0" fontId="0" fillId="26" borderId="17" xfId="0" applyFill="1" applyBorder="1" applyAlignment="1">
      <alignment horizontal="left" vertical="center" indent="1"/>
    </xf>
    <xf numFmtId="0" fontId="22" fillId="0" borderId="9" xfId="0" applyFont="1" applyBorder="1"/>
    <xf numFmtId="0" fontId="21" fillId="27" borderId="36" xfId="0" applyFont="1" applyFill="1" applyBorder="1" applyAlignment="1">
      <alignment horizontal="center"/>
    </xf>
    <xf numFmtId="0" fontId="21" fillId="27" borderId="37" xfId="0" applyFont="1" applyFill="1" applyBorder="1" applyAlignment="1">
      <alignment horizontal="center"/>
    </xf>
    <xf numFmtId="0" fontId="0" fillId="28" borderId="15" xfId="0" applyFill="1" applyBorder="1"/>
    <xf numFmtId="0" fontId="21" fillId="10" borderId="38" xfId="0" applyFont="1" applyFill="1" applyBorder="1" applyAlignment="1">
      <alignment horizontal="center" vertical="center"/>
    </xf>
    <xf numFmtId="166" fontId="21" fillId="10" borderId="38" xfId="1" applyNumberFormat="1" applyFont="1" applyFill="1" applyBorder="1" applyAlignment="1" applyProtection="1">
      <alignment horizontal="center" vertical="center"/>
    </xf>
    <xf numFmtId="0" fontId="21" fillId="24" borderId="6" xfId="0" applyFont="1" applyFill="1" applyBorder="1" applyAlignment="1">
      <alignment horizontal="center"/>
    </xf>
    <xf numFmtId="166" fontId="21" fillId="24" borderId="6" xfId="1" applyNumberFormat="1" applyFont="1" applyFill="1" applyBorder="1" applyAlignment="1" applyProtection="1">
      <alignment horizontal="center" vertical="center"/>
    </xf>
    <xf numFmtId="166" fontId="21" fillId="24" borderId="5" xfId="1" applyNumberFormat="1" applyFont="1" applyFill="1" applyBorder="1" applyAlignment="1" applyProtection="1">
      <alignment horizontal="center" vertical="center"/>
    </xf>
    <xf numFmtId="3" fontId="25" fillId="27" borderId="6" xfId="0" applyNumberFormat="1" applyFont="1" applyFill="1" applyBorder="1" applyAlignment="1">
      <alignment horizontal="center"/>
    </xf>
    <xf numFmtId="0" fontId="21" fillId="4" borderId="5" xfId="0" applyFont="1" applyFill="1" applyBorder="1" applyAlignment="1">
      <alignment horizontal="center"/>
    </xf>
    <xf numFmtId="166" fontId="21" fillId="4" borderId="5" xfId="1" applyNumberFormat="1" applyFont="1" applyFill="1" applyBorder="1" applyAlignment="1" applyProtection="1">
      <alignment horizontal="center" vertical="center"/>
    </xf>
    <xf numFmtId="166" fontId="21" fillId="4" borderId="6" xfId="1" applyNumberFormat="1" applyFont="1" applyFill="1" applyBorder="1" applyAlignment="1" applyProtection="1">
      <alignment horizontal="center" vertical="center"/>
    </xf>
    <xf numFmtId="0" fontId="21" fillId="4" borderId="6" xfId="0" applyFont="1" applyFill="1" applyBorder="1" applyAlignment="1">
      <alignment horizontal="center"/>
    </xf>
    <xf numFmtId="0" fontId="21" fillId="4" borderId="6" xfId="0" applyFont="1" applyFill="1" applyBorder="1" applyAlignment="1">
      <alignment horizontal="center" vertical="center"/>
    </xf>
    <xf numFmtId="0" fontId="21" fillId="24" borderId="6" xfId="0" applyFont="1" applyFill="1" applyBorder="1" applyAlignment="1">
      <alignment horizontal="center" vertical="center"/>
    </xf>
    <xf numFmtId="166" fontId="25" fillId="24" borderId="6" xfId="1" applyNumberFormat="1" applyFont="1" applyFill="1" applyBorder="1" applyAlignment="1" applyProtection="1">
      <alignment horizontal="center" vertical="center"/>
    </xf>
    <xf numFmtId="166" fontId="25" fillId="4" borderId="6" xfId="1" applyNumberFormat="1" applyFont="1" applyFill="1" applyBorder="1" applyAlignment="1" applyProtection="1">
      <alignment horizontal="center" vertical="center"/>
    </xf>
    <xf numFmtId="3" fontId="25" fillId="24" borderId="6" xfId="0" applyNumberFormat="1" applyFont="1" applyFill="1" applyBorder="1" applyAlignment="1">
      <alignment horizontal="center"/>
    </xf>
    <xf numFmtId="3" fontId="25" fillId="4" borderId="6" xfId="0" applyNumberFormat="1" applyFont="1" applyFill="1" applyBorder="1" applyAlignment="1">
      <alignment horizontal="center"/>
    </xf>
    <xf numFmtId="0" fontId="0" fillId="29" borderId="15" xfId="0" applyFill="1" applyBorder="1"/>
    <xf numFmtId="0" fontId="0" fillId="30" borderId="17" xfId="0" applyFill="1" applyBorder="1" applyAlignment="1">
      <alignment horizontal="left" vertical="center" indent="1"/>
    </xf>
    <xf numFmtId="0" fontId="3" fillId="10" borderId="6" xfId="0" applyFont="1" applyFill="1" applyBorder="1"/>
    <xf numFmtId="0" fontId="0" fillId="31" borderId="15" xfId="0" applyFill="1" applyBorder="1"/>
    <xf numFmtId="0" fontId="0" fillId="32" borderId="15" xfId="0" applyFill="1" applyBorder="1"/>
    <xf numFmtId="0" fontId="0" fillId="31" borderId="29" xfId="0" applyFill="1" applyBorder="1" applyAlignment="1">
      <alignment horizontal="center"/>
    </xf>
    <xf numFmtId="0" fontId="0" fillId="31" borderId="6" xfId="0" applyFill="1" applyBorder="1" applyAlignment="1">
      <alignment horizontal="left" vertical="center" indent="1"/>
    </xf>
    <xf numFmtId="0" fontId="0" fillId="31" borderId="27" xfId="0" applyFill="1" applyBorder="1"/>
    <xf numFmtId="0" fontId="0" fillId="32" borderId="27" xfId="0" applyFill="1" applyBorder="1"/>
    <xf numFmtId="0" fontId="0" fillId="31" borderId="31" xfId="0" applyFill="1" applyBorder="1" applyAlignment="1">
      <alignment horizontal="center"/>
    </xf>
    <xf numFmtId="0" fontId="0" fillId="31" borderId="5" xfId="0" applyFill="1" applyBorder="1" applyAlignment="1">
      <alignment horizontal="left" vertical="center" indent="1"/>
    </xf>
    <xf numFmtId="0" fontId="0" fillId="31" borderId="26" xfId="0" applyFill="1" applyBorder="1"/>
    <xf numFmtId="0" fontId="0" fillId="32" borderId="26" xfId="0" applyFill="1" applyBorder="1"/>
    <xf numFmtId="0" fontId="0" fillId="31" borderId="30" xfId="0" applyFill="1" applyBorder="1" applyAlignment="1">
      <alignment horizontal="center"/>
    </xf>
    <xf numFmtId="0" fontId="0" fillId="31" borderId="25" xfId="0" applyFill="1" applyBorder="1" applyAlignment="1">
      <alignment horizontal="left" vertical="center" indent="1"/>
    </xf>
    <xf numFmtId="0" fontId="32" fillId="0" borderId="27" xfId="0" applyFont="1" applyBorder="1"/>
    <xf numFmtId="0" fontId="32" fillId="0" borderId="15" xfId="0" applyFont="1" applyBorder="1"/>
    <xf numFmtId="165" fontId="0" fillId="4" borderId="39" xfId="0" applyNumberFormat="1" applyFill="1" applyBorder="1" applyAlignment="1" applyProtection="1">
      <alignment horizontal="left"/>
      <protection locked="0"/>
    </xf>
    <xf numFmtId="0" fontId="0" fillId="0" borderId="39" xfId="0" applyBorder="1"/>
    <xf numFmtId="0" fontId="33" fillId="11" borderId="9" xfId="0" applyFont="1" applyFill="1" applyBorder="1" applyAlignment="1">
      <alignment horizontal="center" wrapText="1"/>
    </xf>
    <xf numFmtId="20" fontId="0" fillId="0" borderId="0" xfId="0" applyNumberFormat="1"/>
    <xf numFmtId="0" fontId="32" fillId="31" borderId="15" xfId="0" applyFont="1" applyFill="1" applyBorder="1"/>
    <xf numFmtId="0" fontId="32" fillId="31" borderId="27" xfId="0" applyFont="1" applyFill="1" applyBorder="1"/>
    <xf numFmtId="0" fontId="32" fillId="31" borderId="26" xfId="0" applyFont="1" applyFill="1" applyBorder="1"/>
    <xf numFmtId="165" fontId="0" fillId="33" borderId="15" xfId="0" applyNumberFormat="1" applyFill="1" applyBorder="1" applyAlignment="1" applyProtection="1">
      <alignment horizontal="left"/>
      <protection locked="0"/>
    </xf>
    <xf numFmtId="165" fontId="0" fillId="19" borderId="26" xfId="0" applyNumberFormat="1" applyFill="1" applyBorder="1" applyAlignment="1" applyProtection="1">
      <alignment horizontal="left"/>
      <protection locked="0"/>
    </xf>
    <xf numFmtId="0" fontId="0" fillId="29" borderId="26" xfId="0" applyFill="1" applyBorder="1"/>
    <xf numFmtId="165" fontId="0" fillId="19" borderId="27" xfId="0" applyNumberFormat="1" applyFill="1" applyBorder="1" applyAlignment="1" applyProtection="1">
      <alignment horizontal="left"/>
      <protection locked="0"/>
    </xf>
    <xf numFmtId="0" fontId="0" fillId="29" borderId="27" xfId="0" applyFill="1" applyBorder="1"/>
    <xf numFmtId="20" fontId="0" fillId="4" borderId="0" xfId="0" applyNumberFormat="1" applyFill="1"/>
    <xf numFmtId="0" fontId="32" fillId="31" borderId="6" xfId="0" applyFont="1" applyFill="1" applyBorder="1" applyAlignment="1">
      <alignment horizontal="left" vertical="center" indent="1"/>
    </xf>
    <xf numFmtId="0" fontId="32" fillId="29" borderId="27" xfId="0" applyFont="1" applyFill="1" applyBorder="1"/>
    <xf numFmtId="0" fontId="0" fillId="34" borderId="27" xfId="0" applyFill="1" applyBorder="1"/>
    <xf numFmtId="0" fontId="0" fillId="29" borderId="31" xfId="0" applyFill="1" applyBorder="1" applyAlignment="1">
      <alignment horizontal="center"/>
    </xf>
    <xf numFmtId="0" fontId="32" fillId="29" borderId="15" xfId="0" applyFont="1" applyFill="1" applyBorder="1"/>
    <xf numFmtId="0" fontId="0" fillId="34" borderId="15" xfId="0" applyFill="1" applyBorder="1"/>
    <xf numFmtId="0" fontId="0" fillId="29" borderId="29" xfId="0" applyFill="1" applyBorder="1" applyAlignment="1">
      <alignment horizontal="center"/>
    </xf>
    <xf numFmtId="0" fontId="32" fillId="29" borderId="26" xfId="0" applyFont="1" applyFill="1" applyBorder="1"/>
    <xf numFmtId="0" fontId="0" fillId="34" borderId="26" xfId="0" applyFill="1" applyBorder="1"/>
    <xf numFmtId="0" fontId="0" fillId="29" borderId="30" xfId="0" applyFill="1" applyBorder="1" applyAlignment="1">
      <alignment horizontal="center"/>
    </xf>
    <xf numFmtId="0" fontId="34" fillId="4" borderId="6" xfId="0" applyFont="1" applyFill="1" applyBorder="1" applyAlignment="1">
      <alignment horizontal="center" vertical="center"/>
    </xf>
    <xf numFmtId="166" fontId="34" fillId="4" borderId="6" xfId="1" applyNumberFormat="1" applyFont="1" applyFill="1" applyBorder="1" applyAlignment="1" applyProtection="1">
      <alignment horizontal="center" vertical="center"/>
    </xf>
    <xf numFmtId="3" fontId="34" fillId="4" borderId="6" xfId="0" applyNumberFormat="1" applyFont="1" applyFill="1" applyBorder="1" applyAlignment="1">
      <alignment horizontal="center"/>
    </xf>
    <xf numFmtId="3" fontId="24" fillId="36" borderId="43" xfId="0" applyNumberFormat="1" applyFont="1" applyFill="1" applyBorder="1" applyAlignment="1">
      <alignment horizontal="center" vertical="center"/>
    </xf>
    <xf numFmtId="0" fontId="18" fillId="15" borderId="42" xfId="4" applyFont="1" applyFill="1" applyBorder="1" applyAlignment="1" applyProtection="1">
      <alignment vertical="center"/>
    </xf>
    <xf numFmtId="3" fontId="19" fillId="15" borderId="43" xfId="0" applyNumberFormat="1" applyFont="1" applyFill="1" applyBorder="1" applyAlignment="1">
      <alignment horizontal="center" vertical="center"/>
    </xf>
    <xf numFmtId="0" fontId="23" fillId="37" borderId="42" xfId="4" applyFont="1" applyFill="1" applyBorder="1" applyAlignment="1" applyProtection="1">
      <alignment horizontal="center" vertical="center" wrapText="1"/>
    </xf>
    <xf numFmtId="3" fontId="24" fillId="37" borderId="43" xfId="0" applyNumberFormat="1" applyFont="1" applyFill="1" applyBorder="1" applyAlignment="1">
      <alignment horizontal="center" vertical="center"/>
    </xf>
    <xf numFmtId="0" fontId="35" fillId="15" borderId="42" xfId="4" applyFont="1" applyFill="1" applyBorder="1" applyAlignment="1" applyProtection="1">
      <alignment vertical="center" wrapText="1"/>
    </xf>
    <xf numFmtId="0" fontId="36" fillId="35" borderId="42" xfId="4" applyFont="1" applyFill="1" applyBorder="1" applyAlignment="1" applyProtection="1">
      <alignment vertical="center" wrapText="1"/>
    </xf>
    <xf numFmtId="0" fontId="0" fillId="19" borderId="17" xfId="0" applyFill="1" applyBorder="1" applyAlignment="1">
      <alignment horizontal="left" vertical="center" indent="1"/>
    </xf>
    <xf numFmtId="165" fontId="0" fillId="4" borderId="28" xfId="0" applyNumberFormat="1" applyFill="1" applyBorder="1" applyAlignment="1" applyProtection="1">
      <alignment horizontal="left"/>
      <protection locked="0"/>
    </xf>
    <xf numFmtId="0" fontId="0" fillId="0" borderId="28" xfId="0" applyBorder="1"/>
    <xf numFmtId="0" fontId="0" fillId="17" borderId="28" xfId="0" applyFill="1" applyBorder="1"/>
    <xf numFmtId="0" fontId="0" fillId="17" borderId="44" xfId="0" applyFill="1" applyBorder="1" applyAlignment="1">
      <alignment horizontal="center"/>
    </xf>
    <xf numFmtId="0" fontId="0" fillId="17" borderId="9" xfId="0" applyFill="1" applyBorder="1" applyAlignment="1">
      <alignment horizontal="left" vertical="center" indent="1"/>
    </xf>
    <xf numFmtId="0" fontId="0" fillId="17" borderId="39" xfId="0" applyFill="1" applyBorder="1"/>
    <xf numFmtId="0" fontId="0" fillId="17" borderId="40" xfId="0" applyFill="1" applyBorder="1" applyAlignment="1">
      <alignment horizontal="center"/>
    </xf>
    <xf numFmtId="0" fontId="0" fillId="17" borderId="41" xfId="0" applyFill="1" applyBorder="1" applyAlignment="1">
      <alignment horizontal="left" vertical="center" indent="1"/>
    </xf>
    <xf numFmtId="165" fontId="34" fillId="38" borderId="6" xfId="0" applyNumberFormat="1" applyFont="1" applyFill="1" applyBorder="1" applyAlignment="1">
      <alignment horizontal="center" vertical="center"/>
    </xf>
    <xf numFmtId="165" fontId="37" fillId="4" borderId="6" xfId="0" applyNumberFormat="1" applyFont="1" applyFill="1" applyBorder="1" applyAlignment="1">
      <alignment horizontal="center"/>
    </xf>
    <xf numFmtId="0" fontId="27" fillId="39" borderId="0" xfId="4" applyFont="1" applyFill="1" applyBorder="1" applyAlignment="1" applyProtection="1">
      <alignment vertical="center"/>
    </xf>
    <xf numFmtId="0" fontId="0" fillId="40" borderId="6" xfId="0" applyFill="1" applyBorder="1" applyAlignment="1">
      <alignment horizontal="left" vertical="center" indent="1"/>
    </xf>
    <xf numFmtId="0" fontId="0" fillId="40" borderId="15" xfId="0" applyFill="1" applyBorder="1"/>
    <xf numFmtId="0" fontId="32" fillId="40" borderId="15" xfId="0" applyFont="1" applyFill="1" applyBorder="1"/>
    <xf numFmtId="0" fontId="0" fillId="41" borderId="15" xfId="0" applyFill="1" applyBorder="1"/>
    <xf numFmtId="0" fontId="0" fillId="40" borderId="29" xfId="0" applyFill="1" applyBorder="1" applyAlignment="1">
      <alignment horizontal="center"/>
    </xf>
    <xf numFmtId="0" fontId="0" fillId="29" borderId="5" xfId="0" applyFill="1" applyBorder="1" applyAlignment="1">
      <alignment horizontal="left" vertical="center" indent="1"/>
    </xf>
    <xf numFmtId="0" fontId="0" fillId="6" borderId="25" xfId="0" applyFill="1" applyBorder="1" applyAlignment="1">
      <alignment horizontal="left" vertical="center" indent="1"/>
    </xf>
    <xf numFmtId="0" fontId="0" fillId="6" borderId="45" xfId="0" applyFill="1" applyBorder="1" applyAlignment="1">
      <alignment horizontal="left" vertical="center"/>
    </xf>
    <xf numFmtId="0" fontId="0" fillId="6" borderId="26" xfId="0" applyFill="1" applyBorder="1"/>
    <xf numFmtId="0" fontId="0" fillId="4" borderId="26" xfId="0" applyFill="1" applyBorder="1"/>
    <xf numFmtId="165" fontId="0" fillId="4" borderId="25" xfId="0" applyNumberFormat="1" applyFill="1" applyBorder="1" applyAlignment="1" applyProtection="1">
      <alignment horizontal="left"/>
      <protection locked="0"/>
    </xf>
    <xf numFmtId="0" fontId="0" fillId="6" borderId="6" xfId="0" applyFill="1" applyBorder="1" applyAlignment="1">
      <alignment horizontal="left" vertical="center" indent="1"/>
    </xf>
    <xf numFmtId="0" fontId="0" fillId="6" borderId="6" xfId="0" applyFill="1" applyBorder="1" applyAlignment="1">
      <alignment horizontal="left" vertical="center"/>
    </xf>
    <xf numFmtId="165" fontId="0" fillId="4" borderId="6" xfId="0" applyNumberFormat="1" applyFill="1" applyBorder="1" applyAlignment="1" applyProtection="1">
      <alignment horizontal="left"/>
      <protection locked="0"/>
    </xf>
    <xf numFmtId="0" fontId="0" fillId="6" borderId="28" xfId="0" applyFill="1" applyBorder="1" applyAlignment="1">
      <alignment horizontal="left" vertical="center"/>
    </xf>
    <xf numFmtId="0" fontId="32" fillId="40" borderId="6" xfId="0" applyFont="1" applyFill="1" applyBorder="1" applyAlignment="1">
      <alignment horizontal="left" vertical="center" indent="1"/>
    </xf>
    <xf numFmtId="0" fontId="32" fillId="31" borderId="5" xfId="0" applyFont="1" applyFill="1" applyBorder="1" applyAlignment="1">
      <alignment horizontal="left" vertical="center" indent="1"/>
    </xf>
    <xf numFmtId="0" fontId="32" fillId="31" borderId="25" xfId="0" applyFont="1" applyFill="1" applyBorder="1" applyAlignment="1">
      <alignment horizontal="left" vertical="center" indent="1"/>
    </xf>
    <xf numFmtId="0" fontId="0" fillId="40" borderId="26" xfId="0" applyFill="1" applyBorder="1"/>
    <xf numFmtId="0" fontId="32" fillId="40" borderId="26" xfId="0" applyFont="1" applyFill="1" applyBorder="1"/>
    <xf numFmtId="0" fontId="0" fillId="41" borderId="26" xfId="0" applyFill="1" applyBorder="1"/>
    <xf numFmtId="0" fontId="0" fillId="40" borderId="30" xfId="0" applyFill="1" applyBorder="1" applyAlignment="1">
      <alignment horizontal="center"/>
    </xf>
    <xf numFmtId="3" fontId="9" fillId="9" borderId="14" xfId="3" applyNumberFormat="1" applyFont="1" applyBorder="1" applyAlignment="1" applyProtection="1">
      <alignment horizontal="right" vertical="center"/>
    </xf>
    <xf numFmtId="3" fontId="13" fillId="13" borderId="16" xfId="2" applyNumberFormat="1" applyFont="1" applyBorder="1" applyAlignment="1" applyProtection="1">
      <alignment horizontal="right" vertical="center"/>
    </xf>
    <xf numFmtId="0" fontId="0" fillId="10" borderId="15" xfId="0" applyFill="1" applyBorder="1" applyAlignment="1">
      <alignment horizontal="center" vertical="center"/>
    </xf>
    <xf numFmtId="3" fontId="13" fillId="6" borderId="16" xfId="2" applyNumberFormat="1" applyFont="1" applyFill="1" applyBorder="1" applyAlignment="1" applyProtection="1">
      <alignment horizontal="right" vertical="center"/>
    </xf>
    <xf numFmtId="0" fontId="0" fillId="4" borderId="6" xfId="0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</cellXfs>
  <cellStyles count="5">
    <cellStyle name="Excel Built-in Bad 1" xfId="2"/>
    <cellStyle name="Excel Built-in Good 2" xfId="3"/>
    <cellStyle name="Excel Built-in Neutral 3" xfId="4"/>
    <cellStyle name="Milliers" xfId="1" builtinId="3"/>
    <cellStyle name="Normal" xfId="0" builtinId="0"/>
  </cellStyles>
  <dxfs count="30"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0000FF"/>
      </font>
      <fill>
        <patternFill patternType="solid">
          <bgColor theme="7" tint="0.79989013336588644"/>
        </patternFill>
      </fill>
    </dxf>
    <dxf>
      <font>
        <b/>
        <i val="0"/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0000FF"/>
      </font>
      <fill>
        <patternFill patternType="solid">
          <bgColor theme="7" tint="0.79989013336588644"/>
        </patternFill>
      </fill>
    </dxf>
    <dxf>
      <font>
        <b/>
        <i val="0"/>
        <color theme="1"/>
      </font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0000FF"/>
      </font>
      <fill>
        <patternFill patternType="solid">
          <bgColor rgb="FFFFFF0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b/>
        <i val="0"/>
        <color rgb="FF0000FF"/>
      </font>
      <fill>
        <patternFill patternType="solid">
          <bgColor theme="7" tint="0.79989013336588644"/>
        </patternFill>
      </fill>
    </dxf>
    <dxf>
      <font>
        <b/>
        <i val="0"/>
        <color rgb="FF0000FF"/>
      </font>
    </dxf>
    <dxf>
      <font>
        <b/>
        <i val="0"/>
        <color theme="1"/>
      </font>
    </dxf>
    <dxf>
      <font>
        <b/>
        <i val="0"/>
        <color rgb="FF0000FF"/>
      </font>
      <fill>
        <patternFill patternType="solid">
          <bgColor theme="7" tint="0.79989013336588644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PivotStylePreset2_Accent1" table="0" count="10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548235"/>
      <rgbColor rgb="00800080"/>
      <rgbColor rgb="002E75B6"/>
      <rgbColor rgb="00AFABAB"/>
      <rgbColor rgb="009C5700"/>
      <rgbColor rgb="0071A6DA"/>
      <rgbColor rgb="00C9211E"/>
      <rgbColor rgb="00FFF2CC"/>
      <rgbColor rgb="00F2F2F2"/>
      <rgbColor rgb="00660066"/>
      <rgbColor rgb="00FF6D6D"/>
      <rgbColor rgb="000070C0"/>
      <rgbColor rgb="00BDD7EE"/>
      <rgbColor rgb="00000080"/>
      <rgbColor rgb="00FF00FF"/>
      <rgbColor rgb="00C5E0B4"/>
      <rgbColor rgb="00FFC7CE"/>
      <rgbColor rgb="00800080"/>
      <rgbColor rgb="00800000"/>
      <rgbColor rgb="00F4B183"/>
      <rgbColor rgb="000000FF"/>
      <rgbColor rgb="00A9D18E"/>
      <rgbColor rgb="00D9D9D9"/>
      <rgbColor rgb="00C6EFCE"/>
      <rgbColor rgb="00FFEB9C"/>
      <rgbColor rgb="0099CCFF"/>
      <rgbColor rgb="00FFAA95"/>
      <rgbColor rgb="009DC3E6"/>
      <rgbColor rgb="00F8CBAD"/>
      <rgbColor rgb="004472C4"/>
      <rgbColor rgb="00549ADA"/>
      <rgbColor rgb="0092D050"/>
      <rgbColor rgb="00FFC000"/>
      <rgbColor rgb="00ED7D31"/>
      <rgbColor rgb="00F57A27"/>
      <rgbColor rgb="00595959"/>
      <rgbColor rgb="0078B64E"/>
      <rgbColor rgb="00003366"/>
      <rgbColor rgb="005EB91E"/>
      <rgbColor rgb="00003300"/>
      <rgbColor rgb="00BF9000"/>
      <rgbColor rgb="00843C0B"/>
      <rgbColor rgb="00B74B09"/>
      <rgbColor rgb="00333399"/>
      <rgbColor rgb="00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B2A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fr-FR" sz="1800" b="1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TOTAL DISPONIBLE (PRODUITS FINIS)</a:t>
            </a:r>
          </a:p>
        </c:rich>
      </c:tx>
      <c:layout>
        <c:manualLayout>
          <c:xMode val="edge"/>
          <c:yMode val="edge"/>
          <c:x val="0.25180083503810302"/>
          <c:y val="0"/>
        </c:manualLayout>
      </c:layout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896664158515198"/>
          <c:y val="0.18294430794430799"/>
          <c:w val="0.74099155588997601"/>
          <c:h val="0.530303030303030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GRAPHIQUES!$C$4</c:f>
              <c:strCache>
                <c:ptCount val="1"/>
                <c:pt idx="0">
                  <c:v>STOCk DISPO LIBERE</c:v>
                </c:pt>
              </c:strCache>
            </c:strRef>
          </c:tx>
          <c:spPr>
            <a:gradFill>
              <a:gsLst>
                <a:gs pos="0">
                  <a:srgbClr val="71A6DA"/>
                </a:gs>
                <a:gs pos="100000">
                  <a:srgbClr val="549ADA"/>
                </a:gs>
              </a:gsLst>
              <a:lin ang="5400000"/>
            </a:gra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fr-FR" sz="10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GRAPHIQUES!$B$5:$B$7</c:f>
              <c:strCache>
                <c:ptCount val="3"/>
                <c:pt idx="0">
                  <c:v>MASSE</c:v>
                </c:pt>
                <c:pt idx="1">
                  <c:v>BEURRE</c:v>
                </c:pt>
                <c:pt idx="2">
                  <c:v>TOURTEAU</c:v>
                </c:pt>
              </c:strCache>
            </c:strRef>
          </c:cat>
          <c:val>
            <c:numRef>
              <c:f>GRAPHIQUES!$C$5:$C$7</c:f>
              <c:numCache>
                <c:formatCode>#,##0</c:formatCode>
                <c:ptCount val="3"/>
                <c:pt idx="0">
                  <c:v>3023000</c:v>
                </c:pt>
                <c:pt idx="1">
                  <c:v>48000</c:v>
                </c:pt>
                <c:pt idx="2">
                  <c:v>529000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E-4E7F-A2DC-B1F2B2F5BC72}"/>
            </c:ext>
          </c:extLst>
        </c:ser>
        <c:ser>
          <c:idx val="1"/>
          <c:order val="1"/>
          <c:tx>
            <c:strRef>
              <c:f>GRAPHIQUES!$D$4</c:f>
              <c:strCache>
                <c:ptCount val="1"/>
                <c:pt idx="0">
                  <c:v>STOCK DISPO EN ATTENTE LIBERATION</c:v>
                </c:pt>
              </c:strCache>
            </c:strRef>
          </c:tx>
          <c:spPr>
            <a:gradFill>
              <a:gsLst>
                <a:gs pos="0">
                  <a:srgbClr val="F08C56"/>
                </a:gs>
                <a:gs pos="100000">
                  <a:srgbClr val="F57A27"/>
                </a:gs>
              </a:gsLst>
              <a:lin ang="5400000"/>
            </a:gra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fr-FR" sz="10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GRAPHIQUES!$B$5:$B$7</c:f>
              <c:strCache>
                <c:ptCount val="3"/>
                <c:pt idx="0">
                  <c:v>MASSE</c:v>
                </c:pt>
                <c:pt idx="1">
                  <c:v>BEURRE</c:v>
                </c:pt>
                <c:pt idx="2">
                  <c:v>TOURTEAU</c:v>
                </c:pt>
              </c:strCache>
            </c:strRef>
          </c:cat>
          <c:val>
            <c:numRef>
              <c:f>GRAPHIQUES!$D$5:$D$7</c:f>
              <c:numCache>
                <c:formatCode>#,##0</c:formatCode>
                <c:ptCount val="3"/>
                <c:pt idx="0">
                  <c:v>180000</c:v>
                </c:pt>
                <c:pt idx="1">
                  <c:v>0</c:v>
                </c:pt>
                <c:pt idx="2">
                  <c:v>34000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6E-4E7F-A2DC-B1F2B2F5BC72}"/>
            </c:ext>
          </c:extLst>
        </c:ser>
        <c:ser>
          <c:idx val="2"/>
          <c:order val="2"/>
          <c:tx>
            <c:strRef>
              <c:f>GRAPHIQUES!$E$4</c:f>
              <c:strCache>
                <c:ptCount val="1"/>
                <c:pt idx="0">
                  <c:v>STOCK DISPO N.C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fr-FR" sz="10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GRAPHIQUES!$B$5:$B$7</c:f>
              <c:strCache>
                <c:ptCount val="3"/>
                <c:pt idx="0">
                  <c:v>MASSE</c:v>
                </c:pt>
                <c:pt idx="1">
                  <c:v>BEURRE</c:v>
                </c:pt>
                <c:pt idx="2">
                  <c:v>TOURTEAU</c:v>
                </c:pt>
              </c:strCache>
            </c:strRef>
          </c:cat>
          <c:val>
            <c:numRef>
              <c:f>GRAPHIQUES!$E$5:$E$7</c:f>
              <c:numCache>
                <c:formatCode>#,##0</c:formatCode>
                <c:ptCount val="3"/>
                <c:pt idx="0">
                  <c:v>197000</c:v>
                </c:pt>
                <c:pt idx="1">
                  <c:v>0</c:v>
                </c:pt>
                <c:pt idx="2">
                  <c:v>29000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6E-4E7F-A2DC-B1F2B2F5BC72}"/>
            </c:ext>
          </c:extLst>
        </c:ser>
        <c:ser>
          <c:idx val="3"/>
          <c:order val="3"/>
          <c:tx>
            <c:strRef>
              <c:f>GRAPHIQUES!$F$4</c:f>
              <c:strCache>
                <c:ptCount val="1"/>
                <c:pt idx="0">
                  <c:v>TOTAL CUMULE / PRODUIT</c:v>
                </c:pt>
              </c:strCache>
            </c:strRef>
          </c:tx>
          <c:spPr>
            <a:solidFill>
              <a:srgbClr val="FFE699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fr-FR" sz="10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GRAPHIQUES!$B$5:$B$7</c:f>
              <c:strCache>
                <c:ptCount val="3"/>
                <c:pt idx="0">
                  <c:v>MASSE</c:v>
                </c:pt>
                <c:pt idx="1">
                  <c:v>BEURRE</c:v>
                </c:pt>
                <c:pt idx="2">
                  <c:v>TOURTEAU</c:v>
                </c:pt>
              </c:strCache>
            </c:strRef>
          </c:cat>
          <c:val>
            <c:numRef>
              <c:f>GRAPHIQUES!$F$5:$F$7</c:f>
              <c:numCache>
                <c:formatCode>#,##0</c:formatCode>
                <c:ptCount val="3"/>
                <c:pt idx="0">
                  <c:v>3400000</c:v>
                </c:pt>
                <c:pt idx="1">
                  <c:v>48000</c:v>
                </c:pt>
                <c:pt idx="2">
                  <c:v>592000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6E-4E7F-A2DC-B1F2B2F5BC7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00"/>
        <c:overlap val="-24"/>
        <c:axId val="17844745"/>
        <c:axId val="89786671"/>
      </c:barChart>
      <c:catAx>
        <c:axId val="178447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600" cap="flat" cmpd="sng" algn="ctr">
            <a:solidFill>
              <a:srgbClr val="F2F2F2">
                <a:alpha val="54000"/>
              </a:srgb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fr-FR" sz="10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786671"/>
        <c:crosses val="autoZero"/>
        <c:auto val="1"/>
        <c:lblAlgn val="ctr"/>
        <c:lblOffset val="100"/>
        <c:noMultiLvlLbl val="0"/>
      </c:catAx>
      <c:valAx>
        <c:axId val="89786671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F2F2F2">
                  <a:alpha val="10000"/>
                </a:srgb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fr-FR" sz="10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UNITE : KG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648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fr-FR" sz="10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844745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fr-FR" sz="10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dTable>
      <c:spPr>
        <a:noFill/>
        <a:ln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b9293328-30fc-4d2c-9629-0528b0ca1d42}"/>
      </c:ext>
    </c:extLst>
  </c:chart>
  <c:spPr>
    <a:gradFill>
      <a:gsLst>
        <a:gs pos="0">
          <a:srgbClr val="595959"/>
        </a:gs>
        <a:gs pos="100000">
          <a:srgbClr val="262626"/>
        </a:gs>
      </a:gsLst>
      <a:path path="circle"/>
    </a:gradFill>
    <a:ln w="6350" cap="flat" cmpd="sng" algn="ctr">
      <a:noFill/>
      <a:prstDash val="solid"/>
      <a:round/>
    </a:ln>
  </c:spPr>
  <c:txPr>
    <a:bodyPr/>
    <a:lstStyle/>
    <a:p>
      <a:pPr>
        <a:defRPr lang="fr-FR">
          <a:solidFill>
            <a:schemeClr val="bg1">
              <a:lumMod val="95000"/>
            </a:schemeClr>
          </a:solidFill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723780</xdr:colOff>
      <xdr:row>1</xdr:row>
      <xdr:rowOff>11520</xdr:rowOff>
    </xdr:from>
    <xdr:to>
      <xdr:col>9</xdr:col>
      <xdr:colOff>174900</xdr:colOff>
      <xdr:row>18</xdr:row>
      <xdr:rowOff>68400</xdr:rowOff>
    </xdr:to>
    <xdr:graphicFrame macro="">
      <xdr:nvGraphicFramePr>
        <xdr:cNvPr id="2" name="Graphiqu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zoomScale="110" zoomScaleNormal="110" workbookViewId="0">
      <selection activeCell="B5" sqref="B5"/>
    </sheetView>
  </sheetViews>
  <sheetFormatPr baseColWidth="10" defaultColWidth="9" defaultRowHeight="15" x14ac:dyDescent="0.25"/>
  <cols>
    <col min="1" max="1" width="16.140625" customWidth="1"/>
    <col min="2" max="1025" width="10.71093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51180555555555496" footer="0.51180555555555496"/>
  <pageSetup paperSize="9" firstPageNumber="0" orientation="portrait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3C0B"/>
  </sheetPr>
  <dimension ref="A1:AG177"/>
  <sheetViews>
    <sheetView tabSelected="1" zoomScale="90" zoomScaleNormal="90" workbookViewId="0">
      <pane ySplit="8" topLeftCell="A159" activePane="bottomLeft" state="frozen"/>
      <selection pane="bottomLeft" activeCell="A9" sqref="A9"/>
    </sheetView>
  </sheetViews>
  <sheetFormatPr baseColWidth="10" defaultColWidth="9" defaultRowHeight="15" x14ac:dyDescent="0.25"/>
  <cols>
    <col min="1" max="1" width="13.28515625" customWidth="1"/>
    <col min="2" max="2" width="10.28515625" customWidth="1"/>
    <col min="3" max="3" width="13.42578125" customWidth="1"/>
    <col min="4" max="4" width="16.85546875" customWidth="1"/>
    <col min="5" max="5" width="10.42578125" customWidth="1"/>
    <col min="6" max="6" width="9.85546875" customWidth="1"/>
    <col min="7" max="7" width="11" customWidth="1"/>
    <col min="8" max="8" width="12.42578125" customWidth="1"/>
    <col min="9" max="10" width="8.7109375" customWidth="1"/>
    <col min="11" max="11" width="19.28515625" customWidth="1"/>
    <col min="12" max="12" width="13.7109375" customWidth="1"/>
    <col min="13" max="13" width="12.85546875" customWidth="1"/>
    <col min="14" max="14" width="9.85546875" customWidth="1"/>
    <col min="15" max="15" width="12.28515625" customWidth="1"/>
    <col min="16" max="16" width="17.28515625" customWidth="1"/>
    <col min="17" max="17" width="10.5703125" customWidth="1"/>
    <col min="18" max="18" width="10.7109375" customWidth="1"/>
    <col min="19" max="19" width="15.42578125" customWidth="1"/>
    <col min="20" max="20" width="16.7109375" customWidth="1"/>
    <col min="21" max="21" width="22.5703125" customWidth="1"/>
    <col min="22" max="22" width="12.28515625" customWidth="1"/>
    <col min="23" max="23" width="16.5703125" customWidth="1"/>
    <col min="24" max="24" width="14.7109375" customWidth="1"/>
    <col min="25" max="25" width="26.7109375" customWidth="1"/>
    <col min="26" max="26" width="14.42578125" customWidth="1"/>
    <col min="27" max="27" width="15.7109375" customWidth="1"/>
    <col min="28" max="28" width="16.5703125" customWidth="1"/>
    <col min="29" max="29" width="21" customWidth="1"/>
    <col min="30" max="30" width="16.85546875" customWidth="1"/>
    <col min="31" max="1025" width="8.7109375" customWidth="1"/>
  </cols>
  <sheetData>
    <row r="1" spans="1:33" s="29" customFormat="1" ht="28.5" x14ac:dyDescent="0.25">
      <c r="C1" s="30" t="s">
        <v>3</v>
      </c>
    </row>
    <row r="2" spans="1:33" s="29" customFormat="1" ht="15.75" thickBot="1" x14ac:dyDescent="0.3">
      <c r="I2" s="42"/>
    </row>
    <row r="3" spans="1:33" s="29" customFormat="1" ht="111.75" customHeight="1" thickBot="1" x14ac:dyDescent="0.75">
      <c r="C3" s="31" t="s">
        <v>4</v>
      </c>
      <c r="D3" s="32"/>
      <c r="E3" s="242">
        <f ca="1">SUMIF(U9:U890,"LIBERE",S9:S94)</f>
        <v>3023000</v>
      </c>
      <c r="F3" s="242"/>
      <c r="G3" s="242"/>
      <c r="H3" s="33"/>
      <c r="I3" s="43"/>
      <c r="K3" s="44" t="s">
        <v>5</v>
      </c>
      <c r="L3" s="45"/>
      <c r="M3" s="243">
        <f ca="1">SUMIF(U9:U1048576,"NON LIBERE",S9:S57)</f>
        <v>180000</v>
      </c>
      <c r="N3" s="243"/>
      <c r="O3" s="243"/>
      <c r="Q3" s="55" t="s">
        <v>6</v>
      </c>
      <c r="R3" s="56"/>
      <c r="S3" s="57"/>
      <c r="T3" s="57"/>
      <c r="U3" s="58">
        <f>SUM(G11:G13)</f>
        <v>0</v>
      </c>
      <c r="W3" s="202" t="s">
        <v>7</v>
      </c>
      <c r="X3" s="203">
        <f>SUM(AB9:AB45)</f>
        <v>13421</v>
      </c>
      <c r="Y3" s="207" t="s">
        <v>146</v>
      </c>
      <c r="Z3" s="201">
        <f>SUM(AB65+AB66+AB67)</f>
        <v>0</v>
      </c>
      <c r="AA3" s="204" t="s">
        <v>148</v>
      </c>
      <c r="AB3" s="205">
        <f>SUMIF(X9:X1048576,"NC-A VENDRE",Z9:Z1048576)</f>
        <v>197000</v>
      </c>
      <c r="AC3" s="206" t="s">
        <v>147</v>
      </c>
      <c r="AD3" s="203">
        <f>SUM(AB68+AB69)</f>
        <v>31573</v>
      </c>
    </row>
    <row r="4" spans="1:33" s="29" customFormat="1" ht="21" x14ac:dyDescent="0.25">
      <c r="G4" s="34" t="str">
        <f>COUNTIF(U9:U1048576,Valeurs!A1)&amp;" lots"</f>
        <v>156 lots</v>
      </c>
      <c r="H4" s="34"/>
      <c r="O4" s="46" t="str">
        <f>COUNTIF(U9:U1048576,Valeurs!A2)&amp;" lots"</f>
        <v>9 lots</v>
      </c>
      <c r="U4" s="61" t="str">
        <f>COUNT(G11:G13)&amp;" lots"</f>
        <v>0 lots</v>
      </c>
      <c r="W4" s="62" t="s">
        <v>9</v>
      </c>
      <c r="X4" s="62"/>
      <c r="Y4" s="81"/>
      <c r="Z4" s="62"/>
      <c r="AA4" s="62" t="s">
        <v>8</v>
      </c>
      <c r="AB4" s="62"/>
    </row>
    <row r="5" spans="1:33" s="29" customFormat="1" x14ac:dyDescent="0.25">
      <c r="W5" s="63" t="s">
        <v>10</v>
      </c>
      <c r="X5" s="63"/>
      <c r="Y5" s="82" t="s">
        <v>11</v>
      </c>
      <c r="Z5" s="83" t="s">
        <v>12</v>
      </c>
      <c r="AA5" s="63" t="s">
        <v>13</v>
      </c>
      <c r="AB5" s="63" t="s">
        <v>14</v>
      </c>
    </row>
    <row r="6" spans="1:33" ht="25.35" customHeight="1" x14ac:dyDescent="0.25">
      <c r="W6" s="127"/>
      <c r="X6" s="127"/>
      <c r="Y6" s="138"/>
      <c r="Z6" s="139"/>
      <c r="AA6" s="140" t="s">
        <v>15</v>
      </c>
      <c r="AB6" s="139"/>
      <c r="AC6" s="141" t="s">
        <v>16</v>
      </c>
    </row>
    <row r="7" spans="1:33" s="29" customFormat="1" ht="27.6" customHeight="1" x14ac:dyDescent="0.25">
      <c r="A7" s="35"/>
      <c r="B7" s="244" t="s">
        <v>17</v>
      </c>
      <c r="C7" s="244"/>
      <c r="D7" s="244"/>
      <c r="E7" s="244"/>
      <c r="F7" s="244"/>
      <c r="G7" s="244"/>
      <c r="H7" s="244"/>
      <c r="I7" s="244"/>
      <c r="J7" s="47"/>
      <c r="K7" s="47"/>
      <c r="M7" s="35"/>
      <c r="N7" s="244" t="s">
        <v>18</v>
      </c>
      <c r="O7" s="244"/>
      <c r="P7" s="244"/>
      <c r="Q7" s="244"/>
      <c r="R7" s="244"/>
      <c r="S7" s="65"/>
      <c r="T7" s="66"/>
      <c r="U7" s="67"/>
      <c r="W7" s="128"/>
      <c r="X7" s="128"/>
      <c r="Y7" s="142"/>
      <c r="Z7" s="143"/>
      <c r="AA7" s="143"/>
      <c r="AB7" s="143"/>
    </row>
    <row r="8" spans="1:33" s="29" customFormat="1" ht="30" x14ac:dyDescent="0.25">
      <c r="A8" s="50" t="s">
        <v>19</v>
      </c>
      <c r="B8" s="50" t="s">
        <v>20</v>
      </c>
      <c r="C8" s="37" t="s">
        <v>21</v>
      </c>
      <c r="D8" s="36" t="s">
        <v>22</v>
      </c>
      <c r="E8" s="37" t="s">
        <v>23</v>
      </c>
      <c r="F8" s="38" t="s">
        <v>24</v>
      </c>
      <c r="G8" s="36" t="s">
        <v>25</v>
      </c>
      <c r="H8" s="36" t="s">
        <v>16</v>
      </c>
      <c r="I8" s="48" t="s">
        <v>26</v>
      </c>
      <c r="J8" s="36" t="s">
        <v>27</v>
      </c>
      <c r="K8" s="49" t="s">
        <v>28</v>
      </c>
      <c r="M8" s="50" t="s">
        <v>19</v>
      </c>
      <c r="N8" s="50" t="s">
        <v>20</v>
      </c>
      <c r="O8" s="51" t="s">
        <v>21</v>
      </c>
      <c r="P8" s="50" t="s">
        <v>22</v>
      </c>
      <c r="Q8" s="51" t="s">
        <v>23</v>
      </c>
      <c r="R8" s="68" t="s">
        <v>24</v>
      </c>
      <c r="S8" s="69" t="s">
        <v>25</v>
      </c>
      <c r="T8" s="70" t="s">
        <v>16</v>
      </c>
      <c r="U8" s="71" t="s">
        <v>26</v>
      </c>
    </row>
    <row r="9" spans="1:33" x14ac:dyDescent="0.25">
      <c r="A9" s="109"/>
      <c r="B9" s="126"/>
      <c r="C9" s="158"/>
      <c r="D9" s="158"/>
      <c r="E9" s="158"/>
      <c r="F9" s="158"/>
      <c r="G9" s="158"/>
      <c r="H9" s="158"/>
      <c r="I9" s="158"/>
      <c r="J9" s="158"/>
      <c r="K9" s="158"/>
      <c r="M9" s="109">
        <v>45723</v>
      </c>
      <c r="N9" s="123">
        <v>1</v>
      </c>
      <c r="O9" s="123">
        <v>2502112301</v>
      </c>
      <c r="P9" s="86" t="s">
        <v>29</v>
      </c>
      <c r="Q9" s="86">
        <v>4</v>
      </c>
      <c r="R9" s="86">
        <v>160</v>
      </c>
      <c r="S9" s="86">
        <v>4000</v>
      </c>
      <c r="T9" s="124">
        <v>4146</v>
      </c>
      <c r="U9" s="129" t="s">
        <v>0</v>
      </c>
      <c r="W9" s="130"/>
      <c r="X9" s="131" t="s">
        <v>30</v>
      </c>
      <c r="Y9" s="144">
        <v>2312112301</v>
      </c>
      <c r="Z9" s="145">
        <v>1000</v>
      </c>
      <c r="AA9" s="145">
        <v>1000</v>
      </c>
      <c r="AB9" s="146">
        <v>0</v>
      </c>
      <c r="AC9" s="147"/>
    </row>
    <row r="10" spans="1:33" x14ac:dyDescent="0.25">
      <c r="A10" s="109"/>
      <c r="B10" s="126"/>
      <c r="C10" s="158"/>
      <c r="D10" s="158"/>
      <c r="E10" s="158"/>
      <c r="F10" s="158"/>
      <c r="G10" s="158"/>
      <c r="H10" s="158"/>
      <c r="I10" s="158"/>
      <c r="J10" s="158"/>
      <c r="K10" s="158"/>
      <c r="M10" s="109">
        <v>45761</v>
      </c>
      <c r="N10" s="86">
        <v>1</v>
      </c>
      <c r="O10" s="86">
        <v>2510412301</v>
      </c>
      <c r="P10" s="86" t="s">
        <v>29</v>
      </c>
      <c r="Q10" s="86">
        <v>20</v>
      </c>
      <c r="R10" s="86">
        <v>800</v>
      </c>
      <c r="S10" s="86">
        <v>20000</v>
      </c>
      <c r="T10" s="124">
        <v>20792</v>
      </c>
      <c r="U10" s="129" t="s">
        <v>0</v>
      </c>
      <c r="W10" s="132">
        <v>45507</v>
      </c>
      <c r="X10" s="133" t="s">
        <v>7</v>
      </c>
      <c r="Y10" s="148" t="s">
        <v>31</v>
      </c>
      <c r="Z10" s="149">
        <v>6000</v>
      </c>
      <c r="AA10" s="150"/>
      <c r="AB10" s="149">
        <f t="shared" ref="AB10:AB15" si="0">Z10-AA10</f>
        <v>6000</v>
      </c>
      <c r="AC10" s="147"/>
    </row>
    <row r="11" spans="1:33" ht="15.75" x14ac:dyDescent="0.25">
      <c r="A11" s="109"/>
      <c r="B11" s="126"/>
      <c r="C11" s="158"/>
      <c r="D11" s="158"/>
      <c r="E11" s="158"/>
      <c r="F11" s="158"/>
      <c r="G11" s="158"/>
      <c r="H11" s="158"/>
      <c r="I11" s="158"/>
      <c r="J11" s="158"/>
      <c r="K11" s="158"/>
      <c r="M11" s="109">
        <v>45765</v>
      </c>
      <c r="N11" s="86">
        <v>1</v>
      </c>
      <c r="O11" s="123">
        <v>2510712301</v>
      </c>
      <c r="P11" s="123" t="s">
        <v>29</v>
      </c>
      <c r="Q11" s="123">
        <v>1</v>
      </c>
      <c r="R11" s="123">
        <v>40</v>
      </c>
      <c r="S11" s="123">
        <v>1000</v>
      </c>
      <c r="T11" s="124">
        <v>1031</v>
      </c>
      <c r="U11" s="129" t="s">
        <v>0</v>
      </c>
      <c r="W11" s="130">
        <v>45520</v>
      </c>
      <c r="X11" s="131" t="s">
        <v>30</v>
      </c>
      <c r="Y11" s="144">
        <v>2422012301</v>
      </c>
      <c r="Z11" s="145">
        <v>20000</v>
      </c>
      <c r="AA11" s="145">
        <v>20000</v>
      </c>
      <c r="AB11" s="146">
        <f>Z11-AA11</f>
        <v>0</v>
      </c>
      <c r="AC11" s="147"/>
      <c r="AD11" s="89"/>
      <c r="AE11" s="20"/>
      <c r="AF11" s="20"/>
      <c r="AG11" s="20"/>
    </row>
    <row r="12" spans="1:33" ht="15.75" x14ac:dyDescent="0.25">
      <c r="A12" s="109"/>
      <c r="B12" s="126"/>
      <c r="C12" s="158"/>
      <c r="D12" s="158"/>
      <c r="E12" s="158"/>
      <c r="F12" s="158"/>
      <c r="G12" s="158"/>
      <c r="H12" s="158"/>
      <c r="I12" s="158"/>
      <c r="J12" s="158"/>
      <c r="K12" s="158"/>
      <c r="M12" s="109">
        <v>45779</v>
      </c>
      <c r="N12" s="123">
        <v>1</v>
      </c>
      <c r="O12" s="110">
        <v>2512012302</v>
      </c>
      <c r="P12" s="86" t="s">
        <v>29</v>
      </c>
      <c r="Q12" s="86">
        <v>14</v>
      </c>
      <c r="R12" s="86">
        <v>560</v>
      </c>
      <c r="S12" s="86">
        <v>14000</v>
      </c>
      <c r="T12" s="124">
        <v>14582</v>
      </c>
      <c r="U12" s="129" t="s">
        <v>0</v>
      </c>
      <c r="W12" s="132"/>
      <c r="X12" s="133" t="s">
        <v>7</v>
      </c>
      <c r="Y12" s="151" t="s">
        <v>32</v>
      </c>
      <c r="Z12" s="150">
        <v>9615</v>
      </c>
      <c r="AA12" s="150">
        <v>6119</v>
      </c>
      <c r="AB12" s="149">
        <f>Z12-AA12</f>
        <v>3496</v>
      </c>
      <c r="AC12" s="147"/>
      <c r="AD12" s="89"/>
      <c r="AE12" s="20"/>
      <c r="AF12" s="20"/>
    </row>
    <row r="13" spans="1:33" ht="15.75" x14ac:dyDescent="0.25">
      <c r="A13" s="109"/>
      <c r="B13" s="126"/>
      <c r="C13" s="158"/>
      <c r="D13" s="158"/>
      <c r="E13" s="158"/>
      <c r="F13" s="158"/>
      <c r="G13" s="158"/>
      <c r="H13" s="158"/>
      <c r="I13" s="158"/>
      <c r="J13" s="158"/>
      <c r="K13" s="158"/>
      <c r="M13" s="109">
        <v>45790</v>
      </c>
      <c r="N13" s="86">
        <v>1</v>
      </c>
      <c r="O13" s="86">
        <v>2513212301</v>
      </c>
      <c r="P13" s="86" t="s">
        <v>29</v>
      </c>
      <c r="Q13" s="86">
        <v>16</v>
      </c>
      <c r="R13" s="86">
        <v>640</v>
      </c>
      <c r="S13" s="86">
        <v>16000</v>
      </c>
      <c r="T13" s="124">
        <v>16671</v>
      </c>
      <c r="U13" s="129" t="s">
        <v>0</v>
      </c>
      <c r="W13" s="130">
        <v>45490</v>
      </c>
      <c r="X13" s="131" t="s">
        <v>30</v>
      </c>
      <c r="Y13" s="144">
        <v>2418512301</v>
      </c>
      <c r="Z13" s="145">
        <v>9000</v>
      </c>
      <c r="AA13" s="145">
        <v>9000</v>
      </c>
      <c r="AB13" s="146">
        <f t="shared" si="0"/>
        <v>0</v>
      </c>
      <c r="AC13" s="147"/>
      <c r="AD13" s="89"/>
      <c r="AE13" s="20"/>
      <c r="AF13" s="20"/>
    </row>
    <row r="14" spans="1:33" ht="15.75" x14ac:dyDescent="0.25">
      <c r="A14" s="109"/>
      <c r="B14" s="126"/>
      <c r="C14" s="158"/>
      <c r="D14" s="158"/>
      <c r="E14" s="158"/>
      <c r="F14" s="158"/>
      <c r="G14" s="158"/>
      <c r="H14" s="158"/>
      <c r="I14" s="158"/>
      <c r="J14" s="158"/>
      <c r="K14" s="158"/>
      <c r="M14" s="109">
        <v>45798</v>
      </c>
      <c r="N14" s="86">
        <v>1</v>
      </c>
      <c r="O14" s="86">
        <v>2514112301</v>
      </c>
      <c r="P14" s="86" t="s">
        <v>29</v>
      </c>
      <c r="Q14" s="86">
        <v>20</v>
      </c>
      <c r="R14" s="86">
        <v>800</v>
      </c>
      <c r="S14" s="86">
        <v>20000</v>
      </c>
      <c r="T14" s="124">
        <v>20838</v>
      </c>
      <c r="U14" s="129" t="s">
        <v>0</v>
      </c>
      <c r="W14" s="130">
        <v>45491</v>
      </c>
      <c r="X14" s="131" t="s">
        <v>30</v>
      </c>
      <c r="Y14" s="144">
        <v>2419312301</v>
      </c>
      <c r="Z14" s="145">
        <v>2000</v>
      </c>
      <c r="AA14" s="145">
        <v>2000</v>
      </c>
      <c r="AB14" s="146">
        <f t="shared" si="0"/>
        <v>0</v>
      </c>
      <c r="AC14" s="147"/>
      <c r="AD14" s="89"/>
      <c r="AE14" s="20"/>
      <c r="AF14" s="20"/>
    </row>
    <row r="15" spans="1:33" ht="15.75" x14ac:dyDescent="0.25">
      <c r="A15" s="109"/>
      <c r="B15" s="126"/>
      <c r="C15" s="158"/>
      <c r="D15" s="158"/>
      <c r="E15" s="158"/>
      <c r="F15" s="158"/>
      <c r="G15" s="158"/>
      <c r="H15" s="158"/>
      <c r="I15" s="158"/>
      <c r="J15" s="158"/>
      <c r="K15" s="158"/>
      <c r="M15" s="109">
        <v>45800</v>
      </c>
      <c r="N15" s="86">
        <v>1</v>
      </c>
      <c r="O15" s="86">
        <v>2514312301</v>
      </c>
      <c r="P15" s="86" t="s">
        <v>29</v>
      </c>
      <c r="Q15" s="86">
        <v>20</v>
      </c>
      <c r="R15" s="86">
        <v>800</v>
      </c>
      <c r="S15" s="86">
        <v>20000</v>
      </c>
      <c r="T15" s="124">
        <v>20820</v>
      </c>
      <c r="U15" s="129" t="s">
        <v>0</v>
      </c>
      <c r="W15" s="134">
        <v>45491</v>
      </c>
      <c r="X15" s="131" t="s">
        <v>30</v>
      </c>
      <c r="Y15" s="144">
        <v>2419112302</v>
      </c>
      <c r="Z15" s="145">
        <v>2000</v>
      </c>
      <c r="AA15" s="145">
        <v>2000</v>
      </c>
      <c r="AB15" s="146">
        <f t="shared" si="0"/>
        <v>0</v>
      </c>
      <c r="AC15" s="147"/>
      <c r="AD15" s="89"/>
      <c r="AE15" s="20"/>
      <c r="AF15" s="20"/>
    </row>
    <row r="16" spans="1:33" ht="15.75" x14ac:dyDescent="0.25">
      <c r="A16" s="109"/>
      <c r="B16" s="126"/>
      <c r="C16" s="158"/>
      <c r="D16" s="158"/>
      <c r="E16" s="158"/>
      <c r="F16" s="158"/>
      <c r="G16" s="158"/>
      <c r="H16" s="158"/>
      <c r="I16" s="158"/>
      <c r="J16" s="158"/>
      <c r="K16" s="158"/>
      <c r="M16" s="109">
        <v>45803</v>
      </c>
      <c r="N16" s="86">
        <v>1</v>
      </c>
      <c r="O16" s="86">
        <v>2514512301</v>
      </c>
      <c r="P16" s="86" t="s">
        <v>29</v>
      </c>
      <c r="Q16" s="86">
        <v>20</v>
      </c>
      <c r="R16" s="86">
        <v>800</v>
      </c>
      <c r="S16" s="86">
        <v>20000</v>
      </c>
      <c r="T16" s="124">
        <v>20825</v>
      </c>
      <c r="U16" s="129" t="s">
        <v>0</v>
      </c>
      <c r="W16" s="135">
        <v>45495</v>
      </c>
      <c r="X16" s="133" t="s">
        <v>7</v>
      </c>
      <c r="Y16" s="152">
        <v>2419412302</v>
      </c>
      <c r="Z16" s="150">
        <v>925</v>
      </c>
      <c r="AA16" s="150"/>
      <c r="AB16" s="149">
        <v>925</v>
      </c>
      <c r="AC16" s="147">
        <v>960</v>
      </c>
      <c r="AD16" s="89"/>
      <c r="AE16" s="20"/>
      <c r="AF16" s="20"/>
    </row>
    <row r="17" spans="1:32" ht="15.75" x14ac:dyDescent="0.25">
      <c r="A17" s="109"/>
      <c r="B17" s="126"/>
      <c r="C17" s="158"/>
      <c r="D17" s="158"/>
      <c r="E17" s="158"/>
      <c r="F17" s="158"/>
      <c r="G17" s="158"/>
      <c r="H17" s="158"/>
      <c r="I17" s="158"/>
      <c r="J17" s="158"/>
      <c r="K17" s="158"/>
      <c r="M17" s="109">
        <v>45803</v>
      </c>
      <c r="N17" s="86">
        <v>1</v>
      </c>
      <c r="O17" s="86">
        <v>2514612301</v>
      </c>
      <c r="P17" s="86" t="s">
        <v>29</v>
      </c>
      <c r="Q17" s="86">
        <v>20</v>
      </c>
      <c r="R17" s="86">
        <v>800</v>
      </c>
      <c r="S17" s="86">
        <v>20000</v>
      </c>
      <c r="T17" s="124">
        <v>20834</v>
      </c>
      <c r="U17" s="129" t="s">
        <v>0</v>
      </c>
      <c r="W17" s="134">
        <v>45469</v>
      </c>
      <c r="X17" s="131" t="s">
        <v>30</v>
      </c>
      <c r="Y17" s="153">
        <v>2417012301</v>
      </c>
      <c r="Z17" s="145">
        <v>5000</v>
      </c>
      <c r="AA17" s="154">
        <v>5000</v>
      </c>
      <c r="AB17" s="146">
        <f t="shared" ref="AB17:AB25" si="1">Z17-AA17</f>
        <v>0</v>
      </c>
      <c r="AC17" s="147"/>
      <c r="AD17" s="89"/>
      <c r="AE17" s="20"/>
      <c r="AF17" s="20"/>
    </row>
    <row r="18" spans="1:32" ht="15.75" x14ac:dyDescent="0.25">
      <c r="A18" s="109"/>
      <c r="B18" s="126"/>
      <c r="C18" s="158"/>
      <c r="D18" s="158"/>
      <c r="E18" s="158"/>
      <c r="F18" s="158"/>
      <c r="G18" s="158"/>
      <c r="H18" s="158"/>
      <c r="I18" s="158"/>
      <c r="J18" s="158"/>
      <c r="K18" s="158"/>
      <c r="M18" s="109">
        <v>45804</v>
      </c>
      <c r="N18" s="86">
        <v>1</v>
      </c>
      <c r="O18" s="86">
        <v>2514612302</v>
      </c>
      <c r="P18" s="86" t="s">
        <v>29</v>
      </c>
      <c r="Q18" s="86">
        <v>20</v>
      </c>
      <c r="R18" s="86">
        <v>800</v>
      </c>
      <c r="S18" s="86">
        <v>20000</v>
      </c>
      <c r="T18" s="124">
        <v>20870</v>
      </c>
      <c r="U18" s="129" t="s">
        <v>0</v>
      </c>
      <c r="W18" s="135">
        <v>45495</v>
      </c>
      <c r="X18" s="136" t="s">
        <v>33</v>
      </c>
      <c r="Y18" s="152">
        <v>2419612301</v>
      </c>
      <c r="Z18" s="150">
        <v>2000</v>
      </c>
      <c r="AA18" s="155"/>
      <c r="AB18" s="149">
        <f t="shared" si="1"/>
        <v>2000</v>
      </c>
      <c r="AC18" s="147">
        <v>2050</v>
      </c>
      <c r="AD18" s="89"/>
      <c r="AE18" s="20"/>
      <c r="AF18" s="20"/>
    </row>
    <row r="19" spans="1:32" ht="15.75" x14ac:dyDescent="0.25">
      <c r="A19" s="109"/>
      <c r="B19" s="126"/>
      <c r="C19" s="158"/>
      <c r="D19" s="158"/>
      <c r="E19" s="158"/>
      <c r="F19" s="158"/>
      <c r="G19" s="158"/>
      <c r="H19" s="158"/>
      <c r="I19" s="158"/>
      <c r="J19" s="158"/>
      <c r="K19" s="158"/>
      <c r="M19" s="109">
        <v>45805</v>
      </c>
      <c r="N19" s="86">
        <v>1</v>
      </c>
      <c r="O19" s="86">
        <v>2514712301</v>
      </c>
      <c r="P19" s="86" t="s">
        <v>29</v>
      </c>
      <c r="Q19" s="86">
        <v>20</v>
      </c>
      <c r="R19" s="86">
        <v>800</v>
      </c>
      <c r="S19" s="86">
        <v>20000</v>
      </c>
      <c r="T19" s="124">
        <v>20883</v>
      </c>
      <c r="U19" s="129" t="s">
        <v>0</v>
      </c>
      <c r="W19" s="134">
        <v>45502</v>
      </c>
      <c r="X19" s="131" t="s">
        <v>30</v>
      </c>
      <c r="Y19" s="153">
        <v>2419712302</v>
      </c>
      <c r="Z19" s="145">
        <v>20000</v>
      </c>
      <c r="AA19" s="145">
        <v>20000</v>
      </c>
      <c r="AB19" s="146">
        <f t="shared" si="1"/>
        <v>0</v>
      </c>
      <c r="AC19" s="147"/>
      <c r="AD19" s="89"/>
      <c r="AE19" s="20"/>
      <c r="AF19" s="187"/>
    </row>
    <row r="20" spans="1:32" ht="15.75" x14ac:dyDescent="0.25">
      <c r="A20" s="109"/>
      <c r="B20" s="126"/>
      <c r="C20" s="158"/>
      <c r="D20" s="158"/>
      <c r="E20" s="158"/>
      <c r="F20" s="158"/>
      <c r="G20" s="158"/>
      <c r="H20" s="158"/>
      <c r="I20" s="158"/>
      <c r="J20" s="158"/>
      <c r="K20" s="158"/>
      <c r="M20" s="109">
        <v>45808</v>
      </c>
      <c r="N20" s="86">
        <v>1</v>
      </c>
      <c r="O20" s="86">
        <v>2514912301</v>
      </c>
      <c r="P20" s="86" t="s">
        <v>29</v>
      </c>
      <c r="Q20" s="86">
        <v>20</v>
      </c>
      <c r="R20" s="86">
        <v>800</v>
      </c>
      <c r="S20" s="86">
        <v>20000</v>
      </c>
      <c r="T20" s="124">
        <v>20897</v>
      </c>
      <c r="U20" s="129" t="s">
        <v>0</v>
      </c>
      <c r="W20" s="134">
        <v>45520</v>
      </c>
      <c r="X20" s="131" t="s">
        <v>30</v>
      </c>
      <c r="Y20" s="153">
        <v>2421712301</v>
      </c>
      <c r="Z20" s="145">
        <v>4000</v>
      </c>
      <c r="AA20" s="145">
        <v>4000</v>
      </c>
      <c r="AB20" s="146">
        <f t="shared" si="1"/>
        <v>0</v>
      </c>
      <c r="AC20" s="147"/>
      <c r="AD20" s="89"/>
      <c r="AE20" s="20"/>
      <c r="AF20" s="20"/>
    </row>
    <row r="21" spans="1:32" ht="15.75" x14ac:dyDescent="0.25">
      <c r="A21" s="109"/>
      <c r="B21" s="126"/>
      <c r="C21" s="158"/>
      <c r="D21" s="158"/>
      <c r="E21" s="158"/>
      <c r="F21" s="158"/>
      <c r="G21" s="158"/>
      <c r="H21" s="158"/>
      <c r="I21" s="158"/>
      <c r="J21" s="158"/>
      <c r="K21" s="158"/>
      <c r="M21" s="109">
        <v>45808</v>
      </c>
      <c r="N21" s="86">
        <v>1</v>
      </c>
      <c r="O21" s="86">
        <v>2515112301</v>
      </c>
      <c r="P21" s="86" t="s">
        <v>29</v>
      </c>
      <c r="Q21" s="86">
        <v>20</v>
      </c>
      <c r="R21" s="86">
        <v>800</v>
      </c>
      <c r="S21" s="86">
        <v>20000</v>
      </c>
      <c r="T21" s="124">
        <v>20909</v>
      </c>
      <c r="U21" s="129" t="s">
        <v>0</v>
      </c>
      <c r="W21" s="130">
        <v>45503</v>
      </c>
      <c r="X21" s="131" t="s">
        <v>30</v>
      </c>
      <c r="Y21" s="144">
        <v>2420412301</v>
      </c>
      <c r="Z21" s="145">
        <v>2000</v>
      </c>
      <c r="AA21" s="145">
        <v>2000</v>
      </c>
      <c r="AB21" s="146">
        <f t="shared" si="1"/>
        <v>0</v>
      </c>
      <c r="AC21" s="147"/>
      <c r="AD21" s="89"/>
      <c r="AE21" s="20"/>
      <c r="AF21" s="20"/>
    </row>
    <row r="22" spans="1:32" ht="15.75" x14ac:dyDescent="0.25">
      <c r="A22" s="109"/>
      <c r="B22" s="126"/>
      <c r="C22" s="158"/>
      <c r="D22" s="158"/>
      <c r="E22" s="158"/>
      <c r="F22" s="158"/>
      <c r="G22" s="158"/>
      <c r="H22" s="158"/>
      <c r="I22" s="158"/>
      <c r="J22" s="158"/>
      <c r="K22" s="158"/>
      <c r="M22" s="109">
        <v>45809</v>
      </c>
      <c r="N22" s="126">
        <v>1</v>
      </c>
      <c r="O22" s="86">
        <v>2515112302</v>
      </c>
      <c r="P22" s="86" t="s">
        <v>29</v>
      </c>
      <c r="Q22" s="86">
        <v>20</v>
      </c>
      <c r="R22" s="86">
        <v>800</v>
      </c>
      <c r="S22" s="86">
        <v>20000</v>
      </c>
      <c r="T22" s="124">
        <v>20882</v>
      </c>
      <c r="U22" s="129" t="s">
        <v>0</v>
      </c>
      <c r="W22" s="134">
        <v>45490</v>
      </c>
      <c r="X22" s="131" t="s">
        <v>30</v>
      </c>
      <c r="Y22" s="153">
        <v>2418112301</v>
      </c>
      <c r="Z22" s="154">
        <v>12000</v>
      </c>
      <c r="AA22" s="154">
        <v>12000</v>
      </c>
      <c r="AB22" s="146">
        <f t="shared" si="1"/>
        <v>0</v>
      </c>
      <c r="AC22" s="147"/>
      <c r="AD22" s="89"/>
      <c r="AE22" s="20"/>
      <c r="AF22" s="20"/>
    </row>
    <row r="23" spans="1:32" ht="15.75" x14ac:dyDescent="0.25">
      <c r="A23" s="109"/>
      <c r="B23" s="126"/>
      <c r="C23" s="158"/>
      <c r="D23" s="158"/>
      <c r="E23" s="158"/>
      <c r="F23" s="158"/>
      <c r="G23" s="158"/>
      <c r="H23" s="158"/>
      <c r="I23" s="158"/>
      <c r="J23" s="158"/>
      <c r="K23" s="158"/>
      <c r="M23" s="109">
        <v>45814</v>
      </c>
      <c r="N23" s="123">
        <v>1</v>
      </c>
      <c r="O23" s="86">
        <v>2515512301</v>
      </c>
      <c r="P23" s="86" t="s">
        <v>29</v>
      </c>
      <c r="Q23" s="86">
        <v>20</v>
      </c>
      <c r="R23" s="86">
        <v>800</v>
      </c>
      <c r="S23" s="86">
        <v>20000</v>
      </c>
      <c r="T23" s="124">
        <v>20861</v>
      </c>
      <c r="U23" s="129" t="s">
        <v>0</v>
      </c>
      <c r="W23" s="134">
        <v>45530</v>
      </c>
      <c r="X23" s="131" t="s">
        <v>30</v>
      </c>
      <c r="Y23" s="153">
        <v>2422312302</v>
      </c>
      <c r="Z23" s="145">
        <v>20000</v>
      </c>
      <c r="AA23" s="145">
        <v>20000</v>
      </c>
      <c r="AB23" s="146">
        <f t="shared" si="1"/>
        <v>0</v>
      </c>
      <c r="AC23" s="147"/>
      <c r="AD23" s="89"/>
      <c r="AE23" s="20"/>
      <c r="AF23" s="20"/>
    </row>
    <row r="24" spans="1:32" ht="15.75" x14ac:dyDescent="0.25">
      <c r="A24" s="109"/>
      <c r="B24" s="126"/>
      <c r="C24" s="158"/>
      <c r="D24" s="158"/>
      <c r="E24" s="158"/>
      <c r="F24" s="158"/>
      <c r="G24" s="158"/>
      <c r="H24" s="158"/>
      <c r="I24" s="158"/>
      <c r="J24" s="158"/>
      <c r="K24" s="158"/>
      <c r="M24" s="109">
        <v>45817</v>
      </c>
      <c r="N24" s="123">
        <v>1</v>
      </c>
      <c r="O24" s="86">
        <v>2516012301</v>
      </c>
      <c r="P24" s="86" t="s">
        <v>29</v>
      </c>
      <c r="Q24" s="86">
        <v>20</v>
      </c>
      <c r="R24" s="86">
        <v>800</v>
      </c>
      <c r="S24" s="86">
        <v>20000</v>
      </c>
      <c r="T24" s="124">
        <v>20877</v>
      </c>
      <c r="U24" s="129" t="s">
        <v>0</v>
      </c>
      <c r="W24" s="134">
        <v>45495</v>
      </c>
      <c r="X24" s="131" t="s">
        <v>30</v>
      </c>
      <c r="Y24" s="153">
        <v>2419712301</v>
      </c>
      <c r="Z24" s="154">
        <v>7000</v>
      </c>
      <c r="AA24" s="154">
        <v>7000</v>
      </c>
      <c r="AB24" s="146">
        <f t="shared" si="1"/>
        <v>0</v>
      </c>
      <c r="AC24" s="147"/>
      <c r="AD24" s="89"/>
      <c r="AE24" s="20"/>
      <c r="AF24" s="20"/>
    </row>
    <row r="25" spans="1:32" ht="15.75" x14ac:dyDescent="0.25">
      <c r="A25" s="109"/>
      <c r="B25" s="126"/>
      <c r="C25" s="158"/>
      <c r="D25" s="158"/>
      <c r="E25" s="158"/>
      <c r="F25" s="158"/>
      <c r="G25" s="158"/>
      <c r="H25" s="158"/>
      <c r="I25" s="158"/>
      <c r="J25" s="158"/>
      <c r="K25" s="158"/>
      <c r="M25" s="109">
        <v>45822</v>
      </c>
      <c r="N25" s="123">
        <v>1</v>
      </c>
      <c r="O25" s="86">
        <v>2516112301</v>
      </c>
      <c r="P25" s="86" t="s">
        <v>29</v>
      </c>
      <c r="Q25" s="86">
        <v>20</v>
      </c>
      <c r="R25" s="86">
        <v>800</v>
      </c>
      <c r="S25" s="86">
        <v>20000</v>
      </c>
      <c r="T25" s="124">
        <v>20885</v>
      </c>
      <c r="U25" s="129" t="s">
        <v>0</v>
      </c>
      <c r="W25" s="130">
        <v>45503</v>
      </c>
      <c r="X25" s="131" t="s">
        <v>30</v>
      </c>
      <c r="Y25" s="144">
        <v>2420312301</v>
      </c>
      <c r="Z25" s="145">
        <v>1000</v>
      </c>
      <c r="AA25" s="156">
        <v>1000</v>
      </c>
      <c r="AB25" s="146">
        <f t="shared" si="1"/>
        <v>0</v>
      </c>
      <c r="AC25" s="147"/>
      <c r="AD25" s="89"/>
      <c r="AE25" s="20"/>
      <c r="AF25" s="20"/>
    </row>
    <row r="26" spans="1:32" ht="15.75" x14ac:dyDescent="0.25">
      <c r="A26" s="109"/>
      <c r="B26" s="126"/>
      <c r="C26" s="158"/>
      <c r="D26" s="158"/>
      <c r="E26" s="158"/>
      <c r="F26" s="158"/>
      <c r="G26" s="158"/>
      <c r="H26" s="158"/>
      <c r="I26" s="158"/>
      <c r="J26" s="158"/>
      <c r="K26" s="158"/>
      <c r="M26" s="109">
        <v>45825</v>
      </c>
      <c r="N26" s="123">
        <v>1</v>
      </c>
      <c r="O26" s="86">
        <v>2516712301</v>
      </c>
      <c r="P26" s="86" t="s">
        <v>29</v>
      </c>
      <c r="Q26" s="86">
        <v>20</v>
      </c>
      <c r="R26" s="86">
        <v>800</v>
      </c>
      <c r="S26" s="86">
        <v>20000</v>
      </c>
      <c r="T26" s="124">
        <v>20796</v>
      </c>
      <c r="U26" s="129" t="s">
        <v>0</v>
      </c>
      <c r="W26" s="130">
        <v>45505</v>
      </c>
      <c r="X26" s="131" t="s">
        <v>30</v>
      </c>
      <c r="Y26" s="153">
        <v>2420612301</v>
      </c>
      <c r="Z26" s="154">
        <v>3000</v>
      </c>
      <c r="AA26" s="154">
        <v>3000</v>
      </c>
      <c r="AB26" s="156">
        <v>0</v>
      </c>
      <c r="AC26" s="147"/>
      <c r="AD26" s="89"/>
      <c r="AE26" s="20"/>
      <c r="AF26" s="20"/>
    </row>
    <row r="27" spans="1:32" ht="15.75" x14ac:dyDescent="0.25">
      <c r="B27" s="41">
        <f>SUM(B11:B13)</f>
        <v>0</v>
      </c>
      <c r="E27" s="41">
        <f>SUM(E11:E13)</f>
        <v>0</v>
      </c>
      <c r="F27" s="41">
        <f>SUM(F11:F13)</f>
        <v>0</v>
      </c>
      <c r="G27" s="41">
        <f>SUM(G11:G13)</f>
        <v>0</v>
      </c>
      <c r="H27" s="41"/>
      <c r="M27" s="109">
        <v>45827</v>
      </c>
      <c r="N27" s="123">
        <v>1</v>
      </c>
      <c r="O27" s="86">
        <v>2516812302</v>
      </c>
      <c r="P27" s="86" t="s">
        <v>29</v>
      </c>
      <c r="Q27" s="86">
        <v>20</v>
      </c>
      <c r="R27" s="86">
        <v>800</v>
      </c>
      <c r="S27" s="86">
        <v>20000</v>
      </c>
      <c r="T27" s="124">
        <v>20804</v>
      </c>
      <c r="U27" s="129" t="s">
        <v>0</v>
      </c>
      <c r="W27" s="130">
        <v>45530</v>
      </c>
      <c r="X27" s="131" t="s">
        <v>30</v>
      </c>
      <c r="Y27" s="153">
        <v>2422412301</v>
      </c>
      <c r="Z27" s="145">
        <v>2000</v>
      </c>
      <c r="AA27" s="154">
        <v>2000</v>
      </c>
      <c r="AB27" s="156">
        <f t="shared" ref="AB27:AB64" si="2">Z27-AA27</f>
        <v>0</v>
      </c>
      <c r="AC27" s="147"/>
      <c r="AD27" s="89"/>
      <c r="AE27" s="20"/>
      <c r="AF27" s="20"/>
    </row>
    <row r="28" spans="1:32" ht="15.75" x14ac:dyDescent="0.25">
      <c r="M28" s="109">
        <v>45830</v>
      </c>
      <c r="N28" s="123">
        <v>1</v>
      </c>
      <c r="O28" s="86">
        <v>2517012301</v>
      </c>
      <c r="P28" s="86" t="s">
        <v>29</v>
      </c>
      <c r="Q28" s="86">
        <v>20</v>
      </c>
      <c r="R28" s="86">
        <v>800</v>
      </c>
      <c r="S28" s="86">
        <v>20000</v>
      </c>
      <c r="T28" s="124">
        <v>20842</v>
      </c>
      <c r="U28" s="129" t="s">
        <v>0</v>
      </c>
      <c r="W28" s="130">
        <v>45510</v>
      </c>
      <c r="X28" s="131" t="s">
        <v>30</v>
      </c>
      <c r="Y28" s="153">
        <v>2419212301</v>
      </c>
      <c r="Z28" s="145">
        <v>2000</v>
      </c>
      <c r="AA28" s="154">
        <v>2000</v>
      </c>
      <c r="AB28" s="156">
        <f t="shared" si="2"/>
        <v>0</v>
      </c>
      <c r="AC28" s="147"/>
      <c r="AD28" s="89"/>
      <c r="AE28" s="20"/>
      <c r="AF28" s="20"/>
    </row>
    <row r="29" spans="1:32" ht="15.75" x14ac:dyDescent="0.25">
      <c r="M29" s="109">
        <v>45831</v>
      </c>
      <c r="N29" s="123">
        <v>1</v>
      </c>
      <c r="O29" s="86">
        <v>2517312301</v>
      </c>
      <c r="P29" s="86" t="s">
        <v>29</v>
      </c>
      <c r="Q29" s="86">
        <v>20</v>
      </c>
      <c r="R29" s="86">
        <v>800</v>
      </c>
      <c r="S29" s="86">
        <v>20000</v>
      </c>
      <c r="T29" s="124">
        <v>20773</v>
      </c>
      <c r="U29" s="129" t="s">
        <v>0</v>
      </c>
      <c r="W29" s="130">
        <v>45520</v>
      </c>
      <c r="X29" s="131" t="s">
        <v>30</v>
      </c>
      <c r="Y29" s="153">
        <v>2422312301</v>
      </c>
      <c r="Z29" s="145">
        <v>20000</v>
      </c>
      <c r="AA29" s="154">
        <v>20000</v>
      </c>
      <c r="AB29" s="156">
        <f t="shared" si="2"/>
        <v>0</v>
      </c>
      <c r="AC29" s="147"/>
      <c r="AD29" s="89"/>
      <c r="AE29" s="20"/>
      <c r="AF29" s="20"/>
    </row>
    <row r="30" spans="1:32" ht="15.75" x14ac:dyDescent="0.25">
      <c r="M30" s="109">
        <v>45834</v>
      </c>
      <c r="N30" s="123">
        <v>1</v>
      </c>
      <c r="O30" s="86">
        <v>2517712301</v>
      </c>
      <c r="P30" s="86" t="s">
        <v>29</v>
      </c>
      <c r="Q30" s="86">
        <v>20</v>
      </c>
      <c r="R30" s="86">
        <v>800</v>
      </c>
      <c r="S30" s="86">
        <v>20000</v>
      </c>
      <c r="T30" s="124">
        <v>20837</v>
      </c>
      <c r="U30" s="129" t="s">
        <v>0</v>
      </c>
      <c r="W30" s="130">
        <v>45520</v>
      </c>
      <c r="X30" s="131" t="s">
        <v>30</v>
      </c>
      <c r="Y30" s="153">
        <v>2422112301</v>
      </c>
      <c r="Z30" s="145">
        <v>20000</v>
      </c>
      <c r="AA30" s="154">
        <v>20000</v>
      </c>
      <c r="AB30" s="156">
        <f t="shared" si="2"/>
        <v>0</v>
      </c>
      <c r="AC30" s="147"/>
      <c r="AD30" s="89"/>
      <c r="AE30" s="20"/>
      <c r="AF30" s="20"/>
    </row>
    <row r="31" spans="1:32" ht="15.75" x14ac:dyDescent="0.25">
      <c r="J31" s="178"/>
      <c r="M31" s="109">
        <v>45836</v>
      </c>
      <c r="N31" s="123">
        <v>1</v>
      </c>
      <c r="O31" s="86">
        <v>2517912301</v>
      </c>
      <c r="P31" s="86" t="s">
        <v>29</v>
      </c>
      <c r="Q31" s="86">
        <v>20</v>
      </c>
      <c r="R31" s="86">
        <v>800</v>
      </c>
      <c r="S31" s="86">
        <v>20000</v>
      </c>
      <c r="T31" s="124">
        <v>20837</v>
      </c>
      <c r="U31" s="129" t="s">
        <v>0</v>
      </c>
      <c r="W31" s="132">
        <v>45323</v>
      </c>
      <c r="X31" s="133" t="s">
        <v>7</v>
      </c>
      <c r="Y31" s="152">
        <v>2336412302</v>
      </c>
      <c r="Z31" s="155">
        <v>1000</v>
      </c>
      <c r="AA31" s="155"/>
      <c r="AB31" s="157">
        <f t="shared" si="2"/>
        <v>1000</v>
      </c>
      <c r="AC31" s="147"/>
      <c r="AD31" s="89"/>
      <c r="AE31" s="20"/>
      <c r="AF31" s="20"/>
    </row>
    <row r="32" spans="1:32" ht="15.75" x14ac:dyDescent="0.25">
      <c r="M32" s="109">
        <v>45845</v>
      </c>
      <c r="N32" s="123">
        <v>1</v>
      </c>
      <c r="O32" s="86">
        <v>2518712301</v>
      </c>
      <c r="P32" s="86" t="s">
        <v>29</v>
      </c>
      <c r="Q32" s="86">
        <v>20</v>
      </c>
      <c r="R32" s="86">
        <v>800</v>
      </c>
      <c r="S32" s="86">
        <v>20000</v>
      </c>
      <c r="T32" s="124">
        <v>20859</v>
      </c>
      <c r="U32" s="129" t="s">
        <v>0</v>
      </c>
      <c r="W32" s="130">
        <v>45520</v>
      </c>
      <c r="X32" s="131" t="s">
        <v>30</v>
      </c>
      <c r="Y32" s="153">
        <v>2422012302</v>
      </c>
      <c r="Z32" s="145">
        <v>20000</v>
      </c>
      <c r="AA32" s="154">
        <v>20000</v>
      </c>
      <c r="AB32" s="156">
        <f t="shared" si="2"/>
        <v>0</v>
      </c>
      <c r="AC32" s="147"/>
      <c r="AD32" s="89"/>
      <c r="AE32" s="20"/>
      <c r="AF32" s="20"/>
    </row>
    <row r="33" spans="3:32" ht="15.75" x14ac:dyDescent="0.25">
      <c r="M33" s="109">
        <v>45848</v>
      </c>
      <c r="N33" s="126">
        <v>1</v>
      </c>
      <c r="O33" s="110">
        <v>2519012301</v>
      </c>
      <c r="P33" s="110" t="s">
        <v>29</v>
      </c>
      <c r="Q33" s="110">
        <v>20</v>
      </c>
      <c r="R33" s="110">
        <v>800</v>
      </c>
      <c r="S33" s="110">
        <v>20000</v>
      </c>
      <c r="T33" s="124">
        <v>20833</v>
      </c>
      <c r="U33" s="129" t="s">
        <v>0</v>
      </c>
      <c r="W33" s="130">
        <v>45560</v>
      </c>
      <c r="X33" s="131" t="s">
        <v>30</v>
      </c>
      <c r="Y33" s="153">
        <v>2423812301</v>
      </c>
      <c r="Z33" s="145">
        <v>7000</v>
      </c>
      <c r="AA33" s="154">
        <v>7000</v>
      </c>
      <c r="AB33" s="156">
        <f t="shared" si="2"/>
        <v>0</v>
      </c>
      <c r="AC33" s="147"/>
      <c r="AD33" s="89"/>
      <c r="AE33" s="20"/>
      <c r="AF33" s="20"/>
    </row>
    <row r="34" spans="3:32" ht="15.75" x14ac:dyDescent="0.25">
      <c r="M34" s="109">
        <v>45850</v>
      </c>
      <c r="N34" s="126">
        <v>1</v>
      </c>
      <c r="O34" s="110">
        <v>2519212301</v>
      </c>
      <c r="P34" s="110" t="s">
        <v>29</v>
      </c>
      <c r="Q34" s="110">
        <v>20</v>
      </c>
      <c r="R34" s="110">
        <v>800</v>
      </c>
      <c r="S34" s="110">
        <v>20000</v>
      </c>
      <c r="T34" s="124">
        <v>20840</v>
      </c>
      <c r="U34" s="129" t="s">
        <v>0</v>
      </c>
      <c r="W34" s="130">
        <v>45560</v>
      </c>
      <c r="X34" s="131" t="s">
        <v>30</v>
      </c>
      <c r="Y34" s="153">
        <v>2424012301</v>
      </c>
      <c r="Z34" s="145">
        <v>6000</v>
      </c>
      <c r="AA34" s="154">
        <v>6000</v>
      </c>
      <c r="AB34" s="156">
        <f t="shared" si="2"/>
        <v>0</v>
      </c>
      <c r="AC34" s="147"/>
      <c r="AD34" s="89"/>
      <c r="AE34" s="20"/>
      <c r="AF34" s="20"/>
    </row>
    <row r="35" spans="3:32" ht="15.75" x14ac:dyDescent="0.25">
      <c r="M35" s="109">
        <v>45855</v>
      </c>
      <c r="N35" s="126">
        <v>1</v>
      </c>
      <c r="O35" s="110">
        <v>2519612301</v>
      </c>
      <c r="P35" s="110" t="s">
        <v>29</v>
      </c>
      <c r="Q35" s="110">
        <v>20</v>
      </c>
      <c r="R35" s="110">
        <v>800</v>
      </c>
      <c r="S35" s="110">
        <v>20000</v>
      </c>
      <c r="T35" s="124">
        <v>20850</v>
      </c>
      <c r="U35" s="129" t="s">
        <v>0</v>
      </c>
      <c r="W35" s="130">
        <v>45573</v>
      </c>
      <c r="X35" s="131" t="s">
        <v>30</v>
      </c>
      <c r="Y35" s="153">
        <v>2427212301</v>
      </c>
      <c r="Z35" s="145">
        <v>2000</v>
      </c>
      <c r="AA35" s="154">
        <v>2000</v>
      </c>
      <c r="AB35" s="156">
        <f t="shared" si="2"/>
        <v>0</v>
      </c>
      <c r="AC35" s="147"/>
      <c r="AD35" s="89"/>
      <c r="AE35" s="20"/>
      <c r="AF35" s="20"/>
    </row>
    <row r="36" spans="3:32" ht="15.75" x14ac:dyDescent="0.25">
      <c r="M36" s="109">
        <v>45856</v>
      </c>
      <c r="N36" s="126">
        <v>1</v>
      </c>
      <c r="O36" s="110">
        <v>2519812301</v>
      </c>
      <c r="P36" s="110" t="s">
        <v>29</v>
      </c>
      <c r="Q36" s="110">
        <v>20</v>
      </c>
      <c r="R36" s="110">
        <v>800</v>
      </c>
      <c r="S36" s="110">
        <v>20000</v>
      </c>
      <c r="T36" s="124">
        <v>20871</v>
      </c>
      <c r="U36" s="129" t="s">
        <v>0</v>
      </c>
      <c r="W36" s="130">
        <v>45573</v>
      </c>
      <c r="X36" s="131" t="s">
        <v>30</v>
      </c>
      <c r="Y36" s="153">
        <v>2427312301</v>
      </c>
      <c r="Z36" s="145">
        <v>3000</v>
      </c>
      <c r="AA36" s="154">
        <v>3000</v>
      </c>
      <c r="AB36" s="156">
        <f t="shared" si="2"/>
        <v>0</v>
      </c>
      <c r="AC36" s="147"/>
      <c r="AD36" s="89"/>
      <c r="AE36" s="20"/>
      <c r="AF36" s="20"/>
    </row>
    <row r="37" spans="3:32" ht="15.75" x14ac:dyDescent="0.25">
      <c r="M37" s="109">
        <v>45859</v>
      </c>
      <c r="N37" s="126">
        <v>1</v>
      </c>
      <c r="O37" s="110">
        <v>2520212301</v>
      </c>
      <c r="P37" s="110" t="s">
        <v>29</v>
      </c>
      <c r="Q37" s="110">
        <v>20</v>
      </c>
      <c r="R37" s="110">
        <v>800</v>
      </c>
      <c r="S37" s="110">
        <v>20000</v>
      </c>
      <c r="T37" s="124">
        <v>20802</v>
      </c>
      <c r="U37" s="129" t="s">
        <v>0</v>
      </c>
      <c r="W37" s="130">
        <v>45575</v>
      </c>
      <c r="X37" s="131" t="s">
        <v>30</v>
      </c>
      <c r="Y37" s="153">
        <v>2427212302</v>
      </c>
      <c r="Z37" s="145">
        <v>4000</v>
      </c>
      <c r="AA37" s="154">
        <v>4000</v>
      </c>
      <c r="AB37" s="156">
        <f t="shared" si="2"/>
        <v>0</v>
      </c>
      <c r="AC37" s="147"/>
      <c r="AD37" s="89"/>
      <c r="AE37" s="20"/>
      <c r="AF37" s="20"/>
    </row>
    <row r="38" spans="3:32" ht="15.75" x14ac:dyDescent="0.25">
      <c r="M38" s="109">
        <v>45864</v>
      </c>
      <c r="N38" s="126">
        <v>1</v>
      </c>
      <c r="O38" s="110">
        <v>2520312302</v>
      </c>
      <c r="P38" s="110" t="s">
        <v>29</v>
      </c>
      <c r="Q38" s="110">
        <v>20</v>
      </c>
      <c r="R38" s="110">
        <v>800</v>
      </c>
      <c r="S38" s="110">
        <v>20000</v>
      </c>
      <c r="T38" s="124">
        <v>20880</v>
      </c>
      <c r="U38" s="129" t="s">
        <v>0</v>
      </c>
      <c r="W38" s="130">
        <v>45588</v>
      </c>
      <c r="X38" s="131" t="s">
        <v>30</v>
      </c>
      <c r="Y38" s="153">
        <v>2425512301</v>
      </c>
      <c r="Z38" s="145">
        <v>4000</v>
      </c>
      <c r="AA38" s="154">
        <v>4000</v>
      </c>
      <c r="AB38" s="156">
        <f t="shared" si="2"/>
        <v>0</v>
      </c>
      <c r="AC38" s="147">
        <v>4201</v>
      </c>
      <c r="AD38" s="89"/>
      <c r="AE38" s="20"/>
      <c r="AF38" s="20"/>
    </row>
    <row r="39" spans="3:32" ht="15.75" x14ac:dyDescent="0.25">
      <c r="M39" s="109">
        <v>45865</v>
      </c>
      <c r="N39" s="126">
        <v>1</v>
      </c>
      <c r="O39" s="110">
        <v>2520712301</v>
      </c>
      <c r="P39" s="110" t="s">
        <v>29</v>
      </c>
      <c r="Q39" s="110">
        <v>20</v>
      </c>
      <c r="R39" s="110">
        <v>800</v>
      </c>
      <c r="S39" s="110">
        <v>20000</v>
      </c>
      <c r="T39" s="124">
        <v>20867</v>
      </c>
      <c r="U39" s="129" t="s">
        <v>0</v>
      </c>
      <c r="W39" s="130">
        <v>45588</v>
      </c>
      <c r="X39" s="131" t="s">
        <v>30</v>
      </c>
      <c r="Y39" s="153">
        <v>2425612301</v>
      </c>
      <c r="Z39" s="145">
        <v>9000</v>
      </c>
      <c r="AA39" s="154">
        <v>9000</v>
      </c>
      <c r="AB39" s="156">
        <f t="shared" si="2"/>
        <v>0</v>
      </c>
      <c r="AC39" s="147">
        <v>9393</v>
      </c>
      <c r="AD39" s="89"/>
      <c r="AE39" s="20"/>
      <c r="AF39" s="20"/>
    </row>
    <row r="40" spans="3:32" x14ac:dyDescent="0.25">
      <c r="M40" s="109">
        <v>45871</v>
      </c>
      <c r="N40" s="126">
        <v>1</v>
      </c>
      <c r="O40" s="110">
        <v>2521312301</v>
      </c>
      <c r="P40" s="110" t="s">
        <v>29</v>
      </c>
      <c r="Q40" s="110">
        <v>20</v>
      </c>
      <c r="R40" s="110">
        <v>800</v>
      </c>
      <c r="S40" s="110">
        <v>20000</v>
      </c>
      <c r="T40" s="124">
        <v>20838</v>
      </c>
      <c r="U40" s="129" t="s">
        <v>0</v>
      </c>
      <c r="W40" s="130">
        <v>45608</v>
      </c>
      <c r="X40" s="131" t="s">
        <v>30</v>
      </c>
      <c r="Y40" s="153">
        <v>2430812301</v>
      </c>
      <c r="Z40" s="145">
        <v>10000</v>
      </c>
      <c r="AA40" s="154">
        <v>10000</v>
      </c>
      <c r="AB40" s="156">
        <f t="shared" si="2"/>
        <v>0</v>
      </c>
      <c r="AC40" s="147">
        <v>10395</v>
      </c>
    </row>
    <row r="41" spans="3:32" x14ac:dyDescent="0.25">
      <c r="M41" s="109">
        <v>45874</v>
      </c>
      <c r="N41" s="126">
        <v>1</v>
      </c>
      <c r="O41" s="21">
        <v>2521412301</v>
      </c>
      <c r="P41" s="110" t="s">
        <v>29</v>
      </c>
      <c r="Q41" s="110">
        <v>20</v>
      </c>
      <c r="R41" s="110">
        <v>800</v>
      </c>
      <c r="S41" s="110">
        <v>20000</v>
      </c>
      <c r="T41" s="124">
        <v>20926</v>
      </c>
      <c r="U41" s="129" t="s">
        <v>0</v>
      </c>
      <c r="W41" s="130">
        <v>45615</v>
      </c>
      <c r="X41" s="131" t="s">
        <v>30</v>
      </c>
      <c r="Y41" s="153">
        <v>2431012301</v>
      </c>
      <c r="Z41" s="145">
        <v>5000</v>
      </c>
      <c r="AA41" s="154">
        <v>5000</v>
      </c>
      <c r="AB41" s="156">
        <f t="shared" si="2"/>
        <v>0</v>
      </c>
      <c r="AC41" s="147">
        <v>5202</v>
      </c>
    </row>
    <row r="42" spans="3:32" x14ac:dyDescent="0.25">
      <c r="M42" s="109">
        <v>45875</v>
      </c>
      <c r="N42" s="126">
        <v>1</v>
      </c>
      <c r="O42" s="110">
        <v>2521712301</v>
      </c>
      <c r="P42" s="110" t="s">
        <v>29</v>
      </c>
      <c r="Q42" s="110">
        <v>20</v>
      </c>
      <c r="R42" s="110">
        <v>800</v>
      </c>
      <c r="S42" s="110">
        <v>20000</v>
      </c>
      <c r="T42" s="124">
        <v>20899</v>
      </c>
      <c r="U42" s="129" t="s">
        <v>0</v>
      </c>
      <c r="W42" s="130">
        <v>45622</v>
      </c>
      <c r="X42" s="131" t="s">
        <v>30</v>
      </c>
      <c r="Y42" s="153">
        <v>2432012301</v>
      </c>
      <c r="Z42" s="145">
        <v>1000</v>
      </c>
      <c r="AA42" s="154">
        <v>1000</v>
      </c>
      <c r="AB42" s="156">
        <f t="shared" si="2"/>
        <v>0</v>
      </c>
      <c r="AC42" s="147">
        <v>1036</v>
      </c>
    </row>
    <row r="43" spans="3:32" x14ac:dyDescent="0.25">
      <c r="M43" s="109">
        <v>45876</v>
      </c>
      <c r="N43" s="126">
        <v>1</v>
      </c>
      <c r="O43" s="110">
        <v>2521812301</v>
      </c>
      <c r="P43" s="110" t="s">
        <v>29</v>
      </c>
      <c r="Q43" s="110">
        <v>20</v>
      </c>
      <c r="R43" s="110">
        <v>800</v>
      </c>
      <c r="S43" s="110">
        <v>20000</v>
      </c>
      <c r="T43" s="124">
        <v>20917</v>
      </c>
      <c r="U43" s="129" t="s">
        <v>0</v>
      </c>
      <c r="W43" s="130">
        <v>45624</v>
      </c>
      <c r="X43" s="131" t="s">
        <v>30</v>
      </c>
      <c r="Y43" s="153">
        <v>2431212301</v>
      </c>
      <c r="Z43" s="145">
        <v>1000</v>
      </c>
      <c r="AA43" s="154">
        <v>1000</v>
      </c>
      <c r="AB43" s="156">
        <f t="shared" si="2"/>
        <v>0</v>
      </c>
      <c r="AC43" s="147">
        <v>1040</v>
      </c>
    </row>
    <row r="44" spans="3:32" x14ac:dyDescent="0.25">
      <c r="M44" s="109">
        <v>45877</v>
      </c>
      <c r="N44" s="126">
        <v>1</v>
      </c>
      <c r="O44" s="110">
        <v>2521912301</v>
      </c>
      <c r="P44" s="110" t="s">
        <v>29</v>
      </c>
      <c r="Q44" s="110">
        <v>20</v>
      </c>
      <c r="R44" s="110">
        <v>800</v>
      </c>
      <c r="S44" s="110">
        <v>20000</v>
      </c>
      <c r="T44" s="124">
        <v>20903</v>
      </c>
      <c r="U44" s="129" t="s">
        <v>0</v>
      </c>
      <c r="W44" s="130">
        <v>45642</v>
      </c>
      <c r="X44" s="131" t="s">
        <v>30</v>
      </c>
      <c r="Y44" s="153">
        <v>2433112301</v>
      </c>
      <c r="Z44" s="145">
        <v>12000</v>
      </c>
      <c r="AA44" s="154">
        <v>12000</v>
      </c>
      <c r="AB44" s="156">
        <f t="shared" si="2"/>
        <v>0</v>
      </c>
      <c r="AC44" s="147">
        <v>12537</v>
      </c>
    </row>
    <row r="45" spans="3:32" x14ac:dyDescent="0.25">
      <c r="M45" s="109">
        <v>45897</v>
      </c>
      <c r="N45" s="126">
        <v>1</v>
      </c>
      <c r="O45" s="110">
        <v>2523612301</v>
      </c>
      <c r="P45" s="110" t="s">
        <v>29</v>
      </c>
      <c r="Q45" s="110">
        <v>20</v>
      </c>
      <c r="R45" s="110">
        <v>800</v>
      </c>
      <c r="S45" s="110">
        <v>20000</v>
      </c>
      <c r="T45" s="124">
        <v>20897</v>
      </c>
      <c r="U45" s="129" t="s">
        <v>0</v>
      </c>
      <c r="W45" s="130">
        <v>45642</v>
      </c>
      <c r="X45" s="131" t="s">
        <v>30</v>
      </c>
      <c r="Y45" s="153">
        <v>2433312301</v>
      </c>
      <c r="Z45" s="145">
        <v>15000</v>
      </c>
      <c r="AA45" s="154">
        <v>15000</v>
      </c>
      <c r="AB45" s="156">
        <f t="shared" si="2"/>
        <v>0</v>
      </c>
      <c r="AC45" s="147">
        <v>15606</v>
      </c>
    </row>
    <row r="46" spans="3:32" x14ac:dyDescent="0.25">
      <c r="C46" s="125"/>
      <c r="D46" s="125"/>
      <c r="E46" s="125"/>
      <c r="F46" s="125"/>
      <c r="G46" s="125"/>
      <c r="H46" s="125"/>
      <c r="I46" s="125"/>
      <c r="J46" s="125"/>
      <c r="M46" s="109">
        <v>45899</v>
      </c>
      <c r="N46" s="126">
        <v>1</v>
      </c>
      <c r="O46" s="110">
        <v>2524012301</v>
      </c>
      <c r="P46" s="110" t="s">
        <v>29</v>
      </c>
      <c r="Q46" s="110">
        <v>20</v>
      </c>
      <c r="R46" s="110">
        <v>800</v>
      </c>
      <c r="S46" s="110">
        <v>20000</v>
      </c>
      <c r="T46" s="124" t="s">
        <v>34</v>
      </c>
      <c r="U46" s="129" t="s">
        <v>0</v>
      </c>
      <c r="W46" s="132">
        <v>45742</v>
      </c>
      <c r="X46" s="136" t="s">
        <v>33</v>
      </c>
      <c r="Y46" s="152">
        <v>2502112301</v>
      </c>
      <c r="Z46" s="155">
        <v>2000</v>
      </c>
      <c r="AA46" s="155"/>
      <c r="AB46" s="157">
        <f t="shared" si="2"/>
        <v>2000</v>
      </c>
      <c r="AC46" s="147">
        <v>2090</v>
      </c>
      <c r="AD46" t="s">
        <v>139</v>
      </c>
    </row>
    <row r="47" spans="3:32" x14ac:dyDescent="0.25">
      <c r="M47" s="109">
        <v>45900</v>
      </c>
      <c r="N47" s="123">
        <v>1</v>
      </c>
      <c r="O47" s="86">
        <v>2524212301</v>
      </c>
      <c r="P47" s="86" t="s">
        <v>29</v>
      </c>
      <c r="Q47" s="86">
        <v>20</v>
      </c>
      <c r="R47" s="86">
        <v>800</v>
      </c>
      <c r="S47" s="86">
        <v>20000</v>
      </c>
      <c r="T47" s="124" t="s">
        <v>35</v>
      </c>
      <c r="U47" s="129" t="s">
        <v>0</v>
      </c>
      <c r="W47" s="132">
        <v>45763</v>
      </c>
      <c r="X47" s="136" t="s">
        <v>33</v>
      </c>
      <c r="Y47" s="152">
        <v>2509412301</v>
      </c>
      <c r="Z47" s="155">
        <v>9000</v>
      </c>
      <c r="AA47" s="155"/>
      <c r="AB47" s="157">
        <f t="shared" si="2"/>
        <v>9000</v>
      </c>
      <c r="AC47" s="147">
        <v>11368</v>
      </c>
    </row>
    <row r="48" spans="3:32" x14ac:dyDescent="0.25">
      <c r="C48" s="20"/>
      <c r="D48" s="20"/>
      <c r="E48" s="20"/>
      <c r="F48" s="20"/>
      <c r="G48" s="20"/>
      <c r="H48" s="20"/>
      <c r="M48" s="109">
        <v>45901</v>
      </c>
      <c r="N48" s="123">
        <v>1</v>
      </c>
      <c r="O48" s="86">
        <v>2524312301</v>
      </c>
      <c r="P48" s="86" t="s">
        <v>29</v>
      </c>
      <c r="Q48" s="86">
        <v>20</v>
      </c>
      <c r="R48" s="86">
        <v>800</v>
      </c>
      <c r="S48" s="86">
        <v>20000</v>
      </c>
      <c r="T48" s="124" t="s">
        <v>36</v>
      </c>
      <c r="U48" s="129" t="s">
        <v>0</v>
      </c>
      <c r="W48" s="132">
        <v>45782</v>
      </c>
      <c r="X48" s="136" t="s">
        <v>33</v>
      </c>
      <c r="Y48" s="152">
        <v>2510712301</v>
      </c>
      <c r="Z48" s="155">
        <v>8000</v>
      </c>
      <c r="AA48" s="155"/>
      <c r="AB48" s="157">
        <f t="shared" si="2"/>
        <v>8000</v>
      </c>
      <c r="AC48" s="147">
        <v>8332</v>
      </c>
    </row>
    <row r="49" spans="3:30" x14ac:dyDescent="0.25">
      <c r="M49" s="109">
        <v>45902</v>
      </c>
      <c r="N49" s="123">
        <v>1</v>
      </c>
      <c r="O49" s="86">
        <v>2524412301</v>
      </c>
      <c r="P49" s="86" t="s">
        <v>29</v>
      </c>
      <c r="Q49" s="86">
        <v>20</v>
      </c>
      <c r="R49" s="86">
        <v>800</v>
      </c>
      <c r="S49" s="86">
        <v>20000</v>
      </c>
      <c r="T49" s="124" t="s">
        <v>37</v>
      </c>
      <c r="U49" s="129" t="s">
        <v>0</v>
      </c>
      <c r="W49" s="132">
        <v>45782</v>
      </c>
      <c r="X49" s="136" t="s">
        <v>33</v>
      </c>
      <c r="Y49" s="152">
        <v>2510712302</v>
      </c>
      <c r="Z49" s="155">
        <v>14000</v>
      </c>
      <c r="AA49" s="155"/>
      <c r="AB49" s="157">
        <f t="shared" si="2"/>
        <v>14000</v>
      </c>
      <c r="AC49" s="147">
        <v>14583</v>
      </c>
    </row>
    <row r="50" spans="3:30" x14ac:dyDescent="0.25">
      <c r="C50" s="20"/>
      <c r="D50" s="125"/>
      <c r="E50" s="20"/>
      <c r="F50" s="20"/>
      <c r="G50" s="20"/>
      <c r="H50" s="20"/>
      <c r="I50" s="20"/>
      <c r="J50" s="20"/>
      <c r="M50" s="109">
        <v>45903</v>
      </c>
      <c r="N50" s="123">
        <v>1</v>
      </c>
      <c r="O50" s="86">
        <v>2524512301</v>
      </c>
      <c r="P50" s="86" t="s">
        <v>29</v>
      </c>
      <c r="Q50" s="86">
        <v>20</v>
      </c>
      <c r="R50" s="86">
        <v>800</v>
      </c>
      <c r="S50" s="86">
        <v>20000</v>
      </c>
      <c r="T50" s="124" t="s">
        <v>38</v>
      </c>
      <c r="U50" s="129" t="s">
        <v>0</v>
      </c>
      <c r="W50" s="132">
        <v>45782</v>
      </c>
      <c r="X50" s="136" t="s">
        <v>33</v>
      </c>
      <c r="Y50" s="152">
        <v>2510812301</v>
      </c>
      <c r="Z50" s="155">
        <v>2000</v>
      </c>
      <c r="AA50" s="155"/>
      <c r="AB50" s="157">
        <f t="shared" si="2"/>
        <v>2000</v>
      </c>
      <c r="AC50" s="147">
        <v>2085</v>
      </c>
    </row>
    <row r="51" spans="3:30" x14ac:dyDescent="0.25">
      <c r="M51" s="109">
        <v>45923</v>
      </c>
      <c r="N51" s="123">
        <v>1</v>
      </c>
      <c r="O51" s="86">
        <v>2524912301</v>
      </c>
      <c r="P51" s="86" t="s">
        <v>29</v>
      </c>
      <c r="Q51" s="86">
        <v>20</v>
      </c>
      <c r="R51" s="86">
        <v>800</v>
      </c>
      <c r="S51" s="86">
        <v>20000</v>
      </c>
      <c r="T51" s="124" t="s">
        <v>39</v>
      </c>
      <c r="U51" s="129" t="s">
        <v>0</v>
      </c>
      <c r="W51" s="132">
        <v>45791</v>
      </c>
      <c r="X51" s="136" t="s">
        <v>33</v>
      </c>
      <c r="Y51" s="152">
        <v>2512012301</v>
      </c>
      <c r="Z51" s="155">
        <v>7000</v>
      </c>
      <c r="AA51" s="155"/>
      <c r="AB51" s="157">
        <f t="shared" si="2"/>
        <v>7000</v>
      </c>
      <c r="AC51" s="147">
        <v>7294</v>
      </c>
    </row>
    <row r="52" spans="3:30" x14ac:dyDescent="0.25">
      <c r="M52" s="109">
        <v>45939</v>
      </c>
      <c r="N52" s="123">
        <v>1</v>
      </c>
      <c r="O52" s="86">
        <v>2528112301</v>
      </c>
      <c r="P52" s="86" t="s">
        <v>29</v>
      </c>
      <c r="Q52" s="86">
        <v>20</v>
      </c>
      <c r="R52" s="86">
        <v>800</v>
      </c>
      <c r="S52" s="86">
        <v>20000</v>
      </c>
      <c r="T52" s="124">
        <v>20954</v>
      </c>
      <c r="U52" s="137" t="s">
        <v>0</v>
      </c>
      <c r="W52" s="132">
        <v>45791</v>
      </c>
      <c r="X52" s="136" t="s">
        <v>33</v>
      </c>
      <c r="Y52" s="152">
        <v>2512012302</v>
      </c>
      <c r="Z52" s="155">
        <v>6000</v>
      </c>
      <c r="AA52" s="155"/>
      <c r="AB52" s="157">
        <f t="shared" si="2"/>
        <v>6000</v>
      </c>
      <c r="AC52" s="147">
        <v>6250</v>
      </c>
    </row>
    <row r="53" spans="3:30" x14ac:dyDescent="0.25">
      <c r="M53" s="109">
        <v>45942</v>
      </c>
      <c r="N53" s="123">
        <v>1</v>
      </c>
      <c r="O53" s="110">
        <v>2528412301</v>
      </c>
      <c r="P53" s="110" t="s">
        <v>29</v>
      </c>
      <c r="Q53" s="110">
        <v>20</v>
      </c>
      <c r="R53" s="110">
        <v>800</v>
      </c>
      <c r="S53" s="110">
        <v>20000</v>
      </c>
      <c r="T53" s="124">
        <v>20893</v>
      </c>
      <c r="U53" s="137" t="s">
        <v>0</v>
      </c>
      <c r="W53" s="132">
        <v>45791</v>
      </c>
      <c r="X53" s="136" t="s">
        <v>33</v>
      </c>
      <c r="Y53" s="152">
        <v>2512212301</v>
      </c>
      <c r="Z53" s="155">
        <v>13000</v>
      </c>
      <c r="AA53" s="155"/>
      <c r="AB53" s="157">
        <f t="shared" si="2"/>
        <v>13000</v>
      </c>
      <c r="AC53" s="147">
        <v>14531</v>
      </c>
    </row>
    <row r="54" spans="3:30" x14ac:dyDescent="0.25">
      <c r="M54" s="109">
        <v>45943</v>
      </c>
      <c r="N54" s="123">
        <v>1</v>
      </c>
      <c r="O54" s="110">
        <v>2528512302</v>
      </c>
      <c r="P54" s="110" t="s">
        <v>29</v>
      </c>
      <c r="Q54" s="110">
        <v>20</v>
      </c>
      <c r="R54" s="110">
        <v>800</v>
      </c>
      <c r="S54" s="110">
        <v>20000</v>
      </c>
      <c r="T54" s="124">
        <v>20908</v>
      </c>
      <c r="U54" s="137" t="s">
        <v>0</v>
      </c>
      <c r="W54" s="132">
        <v>45849</v>
      </c>
      <c r="X54" s="136" t="s">
        <v>33</v>
      </c>
      <c r="Y54" s="152">
        <v>2517412301</v>
      </c>
      <c r="Z54" s="155">
        <v>12000</v>
      </c>
      <c r="AA54" s="155"/>
      <c r="AB54" s="157">
        <f t="shared" si="2"/>
        <v>12000</v>
      </c>
      <c r="AC54" s="147">
        <v>12505</v>
      </c>
    </row>
    <row r="55" spans="3:30" x14ac:dyDescent="0.25">
      <c r="M55" s="109">
        <v>45944</v>
      </c>
      <c r="N55" s="123">
        <v>1</v>
      </c>
      <c r="O55" s="110">
        <v>2528612301</v>
      </c>
      <c r="P55" s="110" t="s">
        <v>29</v>
      </c>
      <c r="Q55" s="110">
        <v>20</v>
      </c>
      <c r="R55" s="110">
        <v>800</v>
      </c>
      <c r="S55" s="110">
        <v>20000</v>
      </c>
      <c r="T55" s="124">
        <v>20932</v>
      </c>
      <c r="U55" s="137" t="s">
        <v>0</v>
      </c>
      <c r="W55" s="132">
        <v>45996</v>
      </c>
      <c r="X55" s="136" t="s">
        <v>33</v>
      </c>
      <c r="Y55" s="152">
        <v>2531612301</v>
      </c>
      <c r="Z55" s="155">
        <v>1000</v>
      </c>
      <c r="AA55" s="155"/>
      <c r="AB55" s="157">
        <f t="shared" si="2"/>
        <v>1000</v>
      </c>
      <c r="AC55" s="147">
        <v>1040</v>
      </c>
    </row>
    <row r="56" spans="3:30" x14ac:dyDescent="0.25">
      <c r="M56" s="109">
        <v>45945</v>
      </c>
      <c r="N56" s="123">
        <v>1</v>
      </c>
      <c r="O56" s="110">
        <v>2528712301</v>
      </c>
      <c r="P56" s="110" t="s">
        <v>29</v>
      </c>
      <c r="Q56" s="110">
        <v>20</v>
      </c>
      <c r="R56" s="110">
        <v>800</v>
      </c>
      <c r="S56" s="110">
        <v>20000</v>
      </c>
      <c r="T56" s="124">
        <v>20789</v>
      </c>
      <c r="U56" s="137" t="s">
        <v>0</v>
      </c>
      <c r="W56" s="132">
        <v>46042</v>
      </c>
      <c r="X56" s="136" t="s">
        <v>33</v>
      </c>
      <c r="Y56" s="152">
        <v>2601912301</v>
      </c>
      <c r="Z56" s="155">
        <v>15000</v>
      </c>
      <c r="AA56" s="155"/>
      <c r="AB56" s="157">
        <f t="shared" si="2"/>
        <v>15000</v>
      </c>
      <c r="AC56" s="147">
        <v>15488</v>
      </c>
    </row>
    <row r="57" spans="3:30" x14ac:dyDescent="0.25">
      <c r="M57" s="109">
        <v>45949</v>
      </c>
      <c r="N57" s="123">
        <v>1</v>
      </c>
      <c r="O57" s="86">
        <v>2529112301</v>
      </c>
      <c r="P57" s="86" t="s">
        <v>29</v>
      </c>
      <c r="Q57" s="86">
        <v>20</v>
      </c>
      <c r="R57" s="86">
        <v>800</v>
      </c>
      <c r="S57" s="86">
        <v>20000</v>
      </c>
      <c r="T57" s="124">
        <v>20872</v>
      </c>
      <c r="U57" s="137" t="s">
        <v>0</v>
      </c>
      <c r="W57" s="132">
        <v>46043</v>
      </c>
      <c r="X57" s="136" t="s">
        <v>33</v>
      </c>
      <c r="Y57" s="152">
        <v>2602012301</v>
      </c>
      <c r="Z57" s="155">
        <v>7000</v>
      </c>
      <c r="AA57" s="155"/>
      <c r="AB57" s="157">
        <f t="shared" si="2"/>
        <v>7000</v>
      </c>
      <c r="AC57" s="147">
        <v>7214</v>
      </c>
    </row>
    <row r="58" spans="3:30" x14ac:dyDescent="0.25">
      <c r="M58" s="109">
        <v>45960</v>
      </c>
      <c r="N58" s="123">
        <v>1</v>
      </c>
      <c r="O58" s="86">
        <v>2530212302</v>
      </c>
      <c r="P58" s="86" t="s">
        <v>29</v>
      </c>
      <c r="Q58" s="86">
        <v>20</v>
      </c>
      <c r="R58" s="86">
        <v>800</v>
      </c>
      <c r="S58" s="86">
        <v>20000</v>
      </c>
      <c r="T58" s="124">
        <v>20928</v>
      </c>
      <c r="U58" s="137" t="s">
        <v>0</v>
      </c>
      <c r="W58" s="132">
        <v>45947</v>
      </c>
      <c r="X58" s="136" t="s">
        <v>33</v>
      </c>
      <c r="Y58" s="152">
        <v>2528912301</v>
      </c>
      <c r="Z58" s="155">
        <v>20000</v>
      </c>
      <c r="AA58" s="155"/>
      <c r="AB58" s="157">
        <f t="shared" si="2"/>
        <v>20000</v>
      </c>
      <c r="AC58" s="147">
        <v>20794</v>
      </c>
    </row>
    <row r="59" spans="3:30" x14ac:dyDescent="0.25">
      <c r="M59" s="109">
        <v>45962</v>
      </c>
      <c r="N59" s="123">
        <v>1</v>
      </c>
      <c r="O59" s="86">
        <v>2530312301</v>
      </c>
      <c r="P59" s="86" t="s">
        <v>29</v>
      </c>
      <c r="Q59" s="86">
        <v>20</v>
      </c>
      <c r="R59" s="86">
        <v>800</v>
      </c>
      <c r="S59" s="86">
        <v>20000</v>
      </c>
      <c r="T59" s="124">
        <v>20949</v>
      </c>
      <c r="U59" s="137" t="s">
        <v>0</v>
      </c>
      <c r="W59" s="132">
        <v>45969</v>
      </c>
      <c r="X59" s="136" t="s">
        <v>33</v>
      </c>
      <c r="Y59" s="152">
        <v>2531212301</v>
      </c>
      <c r="Z59" s="155">
        <v>20000</v>
      </c>
      <c r="AA59" s="155"/>
      <c r="AB59" s="157">
        <f t="shared" si="2"/>
        <v>20000</v>
      </c>
      <c r="AC59" s="147">
        <v>20867</v>
      </c>
    </row>
    <row r="60" spans="3:30" x14ac:dyDescent="0.25">
      <c r="M60" s="109">
        <v>45962</v>
      </c>
      <c r="N60" s="123">
        <v>1</v>
      </c>
      <c r="O60" s="86">
        <v>2530512301</v>
      </c>
      <c r="P60" s="86" t="s">
        <v>29</v>
      </c>
      <c r="Q60" s="86">
        <v>20</v>
      </c>
      <c r="R60" s="86">
        <v>800</v>
      </c>
      <c r="S60" s="86">
        <v>20000</v>
      </c>
      <c r="T60" s="124">
        <v>20931</v>
      </c>
      <c r="U60" s="137" t="s">
        <v>0</v>
      </c>
      <c r="W60" s="132">
        <v>45971</v>
      </c>
      <c r="X60" s="136" t="s">
        <v>33</v>
      </c>
      <c r="Y60" s="152">
        <v>2531212302</v>
      </c>
      <c r="Z60" s="155">
        <v>20000</v>
      </c>
      <c r="AA60" s="155"/>
      <c r="AB60" s="157">
        <f t="shared" si="2"/>
        <v>20000</v>
      </c>
      <c r="AC60" s="147">
        <v>20932</v>
      </c>
    </row>
    <row r="61" spans="3:30" x14ac:dyDescent="0.25">
      <c r="M61" s="109">
        <v>45963</v>
      </c>
      <c r="N61" s="123">
        <v>1</v>
      </c>
      <c r="O61" s="86">
        <v>2530512302</v>
      </c>
      <c r="P61" s="86" t="s">
        <v>29</v>
      </c>
      <c r="Q61" s="86">
        <v>20</v>
      </c>
      <c r="R61" s="86">
        <v>800</v>
      </c>
      <c r="S61" s="86">
        <v>20000</v>
      </c>
      <c r="T61" s="124">
        <v>20928</v>
      </c>
      <c r="U61" s="137" t="s">
        <v>0</v>
      </c>
      <c r="W61" s="132">
        <v>46147</v>
      </c>
      <c r="X61" s="136" t="s">
        <v>33</v>
      </c>
      <c r="Y61" s="152">
        <v>2612312301</v>
      </c>
      <c r="Z61" s="155">
        <v>2000</v>
      </c>
      <c r="AA61" s="155"/>
      <c r="AB61" s="157">
        <f t="shared" si="2"/>
        <v>2000</v>
      </c>
      <c r="AC61" s="147">
        <v>2046</v>
      </c>
      <c r="AD61" t="s">
        <v>124</v>
      </c>
    </row>
    <row r="62" spans="3:30" x14ac:dyDescent="0.25">
      <c r="M62" s="109">
        <v>45965</v>
      </c>
      <c r="N62" s="123">
        <v>1</v>
      </c>
      <c r="O62" s="86">
        <v>2530612301</v>
      </c>
      <c r="P62" s="86" t="s">
        <v>29</v>
      </c>
      <c r="Q62" s="86">
        <v>20</v>
      </c>
      <c r="R62" s="86">
        <v>800</v>
      </c>
      <c r="S62" s="86">
        <v>20000</v>
      </c>
      <c r="T62" s="124">
        <v>20841</v>
      </c>
      <c r="U62" s="137" t="s">
        <v>0</v>
      </c>
      <c r="W62" s="132">
        <v>46151</v>
      </c>
      <c r="X62" s="136" t="s">
        <v>33</v>
      </c>
      <c r="Y62" s="152">
        <v>2614512301</v>
      </c>
      <c r="Z62" s="155">
        <v>15000</v>
      </c>
      <c r="AA62" s="155"/>
      <c r="AB62" s="157">
        <f t="shared" si="2"/>
        <v>15000</v>
      </c>
      <c r="AC62" s="147">
        <v>15593</v>
      </c>
      <c r="AD62" t="s">
        <v>137</v>
      </c>
    </row>
    <row r="63" spans="3:30" x14ac:dyDescent="0.25">
      <c r="M63" s="109">
        <v>45967</v>
      </c>
      <c r="N63" s="123">
        <v>1</v>
      </c>
      <c r="O63" s="86">
        <v>2530812301</v>
      </c>
      <c r="P63" s="86" t="s">
        <v>29</v>
      </c>
      <c r="Q63" s="86">
        <v>20</v>
      </c>
      <c r="R63" s="86">
        <v>800</v>
      </c>
      <c r="S63" s="86">
        <v>20000</v>
      </c>
      <c r="T63" s="124">
        <v>20828</v>
      </c>
      <c r="U63" s="137" t="s">
        <v>0</v>
      </c>
      <c r="W63" s="132">
        <v>46197</v>
      </c>
      <c r="X63" s="136" t="s">
        <v>33</v>
      </c>
      <c r="Y63" s="152">
        <v>2617212301</v>
      </c>
      <c r="Z63" s="155">
        <v>20000</v>
      </c>
      <c r="AA63" s="155"/>
      <c r="AB63" s="157">
        <f t="shared" si="2"/>
        <v>20000</v>
      </c>
      <c r="AC63" s="147">
        <v>20798</v>
      </c>
    </row>
    <row r="64" spans="3:30" ht="16.350000000000001" customHeight="1" x14ac:dyDescent="0.25">
      <c r="M64" s="109">
        <v>45968</v>
      </c>
      <c r="N64" s="123">
        <v>1</v>
      </c>
      <c r="O64" s="86">
        <v>2531012301</v>
      </c>
      <c r="P64" s="86" t="s">
        <v>29</v>
      </c>
      <c r="Q64" s="86">
        <v>20</v>
      </c>
      <c r="R64" s="86">
        <v>800</v>
      </c>
      <c r="S64" s="86">
        <v>20000</v>
      </c>
      <c r="T64" s="124">
        <v>20870</v>
      </c>
      <c r="U64" s="159" t="s">
        <v>0</v>
      </c>
      <c r="W64" s="132">
        <v>46194</v>
      </c>
      <c r="X64" s="136" t="s">
        <v>33</v>
      </c>
      <c r="Y64" s="152">
        <v>2616812301</v>
      </c>
      <c r="Z64" s="155">
        <v>2000</v>
      </c>
      <c r="AA64" s="155"/>
      <c r="AB64" s="157">
        <f t="shared" si="2"/>
        <v>2000</v>
      </c>
      <c r="AC64" s="147">
        <v>2085</v>
      </c>
      <c r="AD64" t="s">
        <v>150</v>
      </c>
    </row>
    <row r="65" spans="13:29" x14ac:dyDescent="0.25">
      <c r="M65" s="109">
        <v>45983</v>
      </c>
      <c r="N65" s="123">
        <v>1</v>
      </c>
      <c r="O65" s="110">
        <v>2531612301</v>
      </c>
      <c r="P65" s="86" t="s">
        <v>29</v>
      </c>
      <c r="Q65" s="86">
        <v>13</v>
      </c>
      <c r="R65" s="86">
        <v>520</v>
      </c>
      <c r="S65" s="86">
        <v>13000</v>
      </c>
      <c r="T65" s="124">
        <v>13590</v>
      </c>
      <c r="U65" s="137" t="s">
        <v>0</v>
      </c>
      <c r="W65" s="132"/>
      <c r="X65" s="217" t="s">
        <v>30</v>
      </c>
      <c r="Y65" s="198" t="s">
        <v>140</v>
      </c>
      <c r="Z65" s="199">
        <v>10711</v>
      </c>
      <c r="AA65" s="155"/>
      <c r="AB65" s="200"/>
      <c r="AC65" s="147"/>
    </row>
    <row r="66" spans="13:29" x14ac:dyDescent="0.25">
      <c r="M66" s="109">
        <v>45989</v>
      </c>
      <c r="N66" s="123">
        <v>1</v>
      </c>
      <c r="O66" s="86">
        <v>2533112301</v>
      </c>
      <c r="P66" s="86" t="s">
        <v>29</v>
      </c>
      <c r="Q66" s="86">
        <v>20</v>
      </c>
      <c r="R66" s="86">
        <v>800</v>
      </c>
      <c r="S66" s="86">
        <v>20000</v>
      </c>
      <c r="T66" s="124">
        <v>20869</v>
      </c>
      <c r="U66" s="137" t="s">
        <v>0</v>
      </c>
      <c r="W66" s="132"/>
      <c r="X66" s="217" t="s">
        <v>30</v>
      </c>
      <c r="Y66" s="198" t="s">
        <v>141</v>
      </c>
      <c r="Z66" s="199">
        <v>3523</v>
      </c>
      <c r="AA66" s="155"/>
      <c r="AB66" s="200"/>
      <c r="AC66" s="147"/>
    </row>
    <row r="67" spans="13:29" x14ac:dyDescent="0.25">
      <c r="M67" s="109">
        <v>45990</v>
      </c>
      <c r="N67" s="123">
        <v>1</v>
      </c>
      <c r="O67" s="86">
        <v>2533212301</v>
      </c>
      <c r="P67" s="86" t="s">
        <v>29</v>
      </c>
      <c r="Q67" s="86">
        <v>20</v>
      </c>
      <c r="R67" s="86">
        <v>800</v>
      </c>
      <c r="S67" s="86">
        <v>20000</v>
      </c>
      <c r="T67" s="124">
        <v>20830</v>
      </c>
      <c r="U67" s="137" t="s">
        <v>0</v>
      </c>
      <c r="W67" s="132"/>
      <c r="X67" s="217" t="s">
        <v>30</v>
      </c>
      <c r="Y67" s="198" t="s">
        <v>149</v>
      </c>
      <c r="Z67" s="199">
        <v>10950</v>
      </c>
      <c r="AA67" s="155"/>
      <c r="AB67" s="200"/>
      <c r="AC67" s="147"/>
    </row>
    <row r="68" spans="13:29" x14ac:dyDescent="0.25">
      <c r="M68" s="109">
        <v>45994</v>
      </c>
      <c r="N68" s="123">
        <v>1</v>
      </c>
      <c r="O68" s="86">
        <v>2533612301</v>
      </c>
      <c r="P68" s="86" t="s">
        <v>29</v>
      </c>
      <c r="Q68" s="86">
        <v>20</v>
      </c>
      <c r="R68" s="86">
        <v>800</v>
      </c>
      <c r="S68" s="86">
        <v>20000</v>
      </c>
      <c r="T68" s="124">
        <v>20612</v>
      </c>
      <c r="U68" s="137" t="s">
        <v>0</v>
      </c>
      <c r="W68" s="132"/>
      <c r="X68" s="218" t="s">
        <v>142</v>
      </c>
      <c r="Y68" s="198" t="s">
        <v>144</v>
      </c>
      <c r="Z68" s="199">
        <v>30096</v>
      </c>
      <c r="AA68" s="199">
        <v>556</v>
      </c>
      <c r="AB68" s="200">
        <f>Z68-AA68</f>
        <v>29540</v>
      </c>
      <c r="AC68" s="147"/>
    </row>
    <row r="69" spans="13:29" x14ac:dyDescent="0.25">
      <c r="M69" s="109">
        <v>45995</v>
      </c>
      <c r="N69" s="123">
        <v>1</v>
      </c>
      <c r="O69" s="86">
        <v>2533812301</v>
      </c>
      <c r="P69" s="86" t="s">
        <v>29</v>
      </c>
      <c r="Q69" s="86">
        <v>20</v>
      </c>
      <c r="R69" s="86">
        <v>800</v>
      </c>
      <c r="S69" s="86">
        <v>20000</v>
      </c>
      <c r="T69" s="124">
        <v>20724</v>
      </c>
      <c r="U69" s="137" t="s">
        <v>0</v>
      </c>
      <c r="W69" s="132"/>
      <c r="X69" s="218" t="s">
        <v>143</v>
      </c>
      <c r="Y69" s="198" t="s">
        <v>145</v>
      </c>
      <c r="Z69" s="199">
        <v>2033</v>
      </c>
      <c r="AA69" s="199"/>
      <c r="AB69" s="200">
        <f>Z69-AA69</f>
        <v>2033</v>
      </c>
      <c r="AC69" s="147"/>
    </row>
    <row r="70" spans="13:29" x14ac:dyDescent="0.25">
      <c r="M70" s="109">
        <v>45997</v>
      </c>
      <c r="N70" s="123">
        <v>1</v>
      </c>
      <c r="O70" s="86">
        <v>2533812302</v>
      </c>
      <c r="P70" s="86" t="s">
        <v>29</v>
      </c>
      <c r="Q70" s="86">
        <v>20</v>
      </c>
      <c r="R70" s="86">
        <v>800</v>
      </c>
      <c r="S70" s="86">
        <v>20000</v>
      </c>
      <c r="T70" s="124">
        <v>20646</v>
      </c>
      <c r="U70" s="137" t="s">
        <v>0</v>
      </c>
      <c r="W70" s="132"/>
      <c r="X70" s="136"/>
      <c r="Y70" s="152"/>
      <c r="Z70" s="155"/>
      <c r="AA70" s="155"/>
      <c r="AB70" s="157"/>
      <c r="AC70" s="147"/>
    </row>
    <row r="71" spans="13:29" x14ac:dyDescent="0.25">
      <c r="M71" s="109">
        <v>45997</v>
      </c>
      <c r="N71" s="123">
        <v>1</v>
      </c>
      <c r="O71" s="86">
        <v>2534012301</v>
      </c>
      <c r="P71" s="86" t="s">
        <v>29</v>
      </c>
      <c r="Q71" s="86">
        <v>20</v>
      </c>
      <c r="R71" s="86">
        <v>800</v>
      </c>
      <c r="S71" s="86">
        <v>20000</v>
      </c>
      <c r="T71" s="124">
        <v>20558</v>
      </c>
      <c r="U71" s="137" t="s">
        <v>0</v>
      </c>
      <c r="W71" s="132"/>
      <c r="X71" s="136"/>
      <c r="Y71" s="152"/>
      <c r="Z71" s="155"/>
      <c r="AA71" s="155"/>
      <c r="AB71" s="157"/>
      <c r="AC71" s="147"/>
    </row>
    <row r="72" spans="13:29" x14ac:dyDescent="0.25">
      <c r="M72" s="109">
        <v>45998</v>
      </c>
      <c r="N72" s="123">
        <v>1</v>
      </c>
      <c r="O72" s="86">
        <v>2534012302</v>
      </c>
      <c r="P72" s="86" t="s">
        <v>29</v>
      </c>
      <c r="Q72" s="86">
        <v>20</v>
      </c>
      <c r="R72" s="86">
        <v>800</v>
      </c>
      <c r="S72" s="86">
        <v>20000</v>
      </c>
      <c r="T72" s="124">
        <v>20584</v>
      </c>
      <c r="U72" s="137" t="s">
        <v>0</v>
      </c>
      <c r="W72" s="132"/>
      <c r="X72" s="136"/>
      <c r="Y72" s="152"/>
      <c r="Z72" s="155"/>
      <c r="AA72" s="155"/>
      <c r="AB72" s="157"/>
      <c r="AC72" s="147"/>
    </row>
    <row r="73" spans="13:29" x14ac:dyDescent="0.25">
      <c r="M73" s="109">
        <v>46000</v>
      </c>
      <c r="N73" s="123">
        <v>1</v>
      </c>
      <c r="O73" s="86">
        <v>2534112301</v>
      </c>
      <c r="P73" s="86" t="s">
        <v>29</v>
      </c>
      <c r="Q73" s="86">
        <v>20</v>
      </c>
      <c r="R73" s="86">
        <v>800</v>
      </c>
      <c r="S73" s="86">
        <v>20000</v>
      </c>
      <c r="T73" s="124">
        <v>20625</v>
      </c>
      <c r="U73" s="137" t="s">
        <v>0</v>
      </c>
      <c r="W73" s="132"/>
      <c r="X73" s="136"/>
      <c r="Y73" s="152"/>
      <c r="Z73" s="155"/>
      <c r="AA73" s="155"/>
      <c r="AB73" s="157"/>
      <c r="AC73" s="147"/>
    </row>
    <row r="74" spans="13:29" x14ac:dyDescent="0.25">
      <c r="M74" s="109">
        <v>46001</v>
      </c>
      <c r="N74" s="123">
        <v>1</v>
      </c>
      <c r="O74" s="86">
        <v>2534312301</v>
      </c>
      <c r="P74" s="86" t="s">
        <v>29</v>
      </c>
      <c r="Q74" s="86">
        <v>20</v>
      </c>
      <c r="R74" s="86">
        <v>800</v>
      </c>
      <c r="S74" s="86">
        <v>20000</v>
      </c>
      <c r="T74" s="124"/>
      <c r="U74" s="137" t="s">
        <v>0</v>
      </c>
    </row>
    <row r="75" spans="13:29" x14ac:dyDescent="0.25">
      <c r="M75" s="109">
        <v>46002</v>
      </c>
      <c r="N75">
        <v>1</v>
      </c>
      <c r="O75">
        <v>2534412301</v>
      </c>
      <c r="P75" s="86" t="s">
        <v>29</v>
      </c>
      <c r="Q75" s="86">
        <v>20</v>
      </c>
      <c r="R75" s="86">
        <v>800</v>
      </c>
      <c r="S75" s="86">
        <v>20000</v>
      </c>
      <c r="T75" s="124">
        <v>20598</v>
      </c>
      <c r="U75" s="137" t="s">
        <v>0</v>
      </c>
    </row>
    <row r="76" spans="13:29" x14ac:dyDescent="0.25">
      <c r="M76" s="109">
        <v>46003</v>
      </c>
      <c r="N76" s="123">
        <v>1</v>
      </c>
      <c r="O76">
        <v>2534512301</v>
      </c>
      <c r="P76" s="86" t="s">
        <v>29</v>
      </c>
      <c r="Q76" s="86">
        <v>20</v>
      </c>
      <c r="R76" s="86">
        <v>800</v>
      </c>
      <c r="S76" s="86">
        <v>20000</v>
      </c>
      <c r="T76" s="124">
        <v>20566</v>
      </c>
      <c r="U76" s="137" t="s">
        <v>0</v>
      </c>
    </row>
    <row r="77" spans="13:29" x14ac:dyDescent="0.25">
      <c r="M77" s="109">
        <v>46004</v>
      </c>
      <c r="N77" s="123">
        <v>1</v>
      </c>
      <c r="O77" s="86">
        <v>2534612301</v>
      </c>
      <c r="P77" s="86" t="s">
        <v>29</v>
      </c>
      <c r="Q77" s="86">
        <v>20</v>
      </c>
      <c r="R77" s="86">
        <v>800</v>
      </c>
      <c r="S77" s="86">
        <v>20000</v>
      </c>
      <c r="T77" s="124">
        <v>20549</v>
      </c>
      <c r="U77" s="137" t="s">
        <v>0</v>
      </c>
    </row>
    <row r="78" spans="13:29" x14ac:dyDescent="0.25">
      <c r="M78" s="109">
        <v>46003</v>
      </c>
      <c r="N78" s="123">
        <v>1</v>
      </c>
      <c r="O78" s="86">
        <v>2534912301</v>
      </c>
      <c r="P78" s="86" t="s">
        <v>29</v>
      </c>
      <c r="Q78" s="86">
        <v>20</v>
      </c>
      <c r="R78" s="86">
        <v>800</v>
      </c>
      <c r="S78" s="86">
        <v>20000</v>
      </c>
      <c r="T78" s="124"/>
      <c r="U78" s="137" t="s">
        <v>0</v>
      </c>
    </row>
    <row r="79" spans="13:29" x14ac:dyDescent="0.25">
      <c r="M79" s="109">
        <v>46010</v>
      </c>
      <c r="N79" s="123">
        <v>1</v>
      </c>
      <c r="O79" s="86">
        <v>2535212301</v>
      </c>
      <c r="P79" s="86" t="s">
        <v>29</v>
      </c>
      <c r="Q79" s="86">
        <v>20</v>
      </c>
      <c r="R79" s="86">
        <v>800</v>
      </c>
      <c r="S79" s="86">
        <v>20000</v>
      </c>
      <c r="T79" s="124">
        <v>20626</v>
      </c>
      <c r="U79" s="137" t="s">
        <v>0</v>
      </c>
    </row>
    <row r="80" spans="13:29" x14ac:dyDescent="0.25">
      <c r="M80" s="109">
        <v>46016</v>
      </c>
      <c r="N80" s="123">
        <v>1</v>
      </c>
      <c r="O80" s="86">
        <v>2535412301</v>
      </c>
      <c r="P80" s="86" t="s">
        <v>29</v>
      </c>
      <c r="Q80" s="86">
        <v>20</v>
      </c>
      <c r="R80" s="86">
        <v>800</v>
      </c>
      <c r="S80" s="86">
        <v>20000</v>
      </c>
      <c r="T80" s="124">
        <v>20611</v>
      </c>
      <c r="U80" s="137" t="s">
        <v>0</v>
      </c>
    </row>
    <row r="81" spans="13:21" x14ac:dyDescent="0.25">
      <c r="M81" s="109">
        <v>46018</v>
      </c>
      <c r="N81" s="123">
        <v>1</v>
      </c>
      <c r="O81" s="86">
        <v>2535912301</v>
      </c>
      <c r="P81" s="86" t="s">
        <v>29</v>
      </c>
      <c r="Q81" s="86">
        <v>20</v>
      </c>
      <c r="R81" s="86">
        <v>800</v>
      </c>
      <c r="S81" s="86">
        <v>20000</v>
      </c>
      <c r="T81" s="124">
        <v>20639</v>
      </c>
      <c r="U81" s="137" t="s">
        <v>0</v>
      </c>
    </row>
    <row r="82" spans="13:21" x14ac:dyDescent="0.25">
      <c r="M82" s="109">
        <v>46021</v>
      </c>
      <c r="N82" s="123">
        <v>1</v>
      </c>
      <c r="O82" s="86">
        <v>2536312301</v>
      </c>
      <c r="P82" s="86" t="s">
        <v>29</v>
      </c>
      <c r="Q82" s="86">
        <v>20</v>
      </c>
      <c r="R82" s="86">
        <v>800</v>
      </c>
      <c r="S82" s="86">
        <v>20000</v>
      </c>
      <c r="T82" s="124">
        <v>20637</v>
      </c>
      <c r="U82" s="137" t="s">
        <v>0</v>
      </c>
    </row>
    <row r="83" spans="13:21" x14ac:dyDescent="0.25">
      <c r="M83" s="109">
        <v>46022</v>
      </c>
      <c r="N83" s="123">
        <v>1</v>
      </c>
      <c r="O83" s="86">
        <v>2536412301</v>
      </c>
      <c r="P83" s="86" t="s">
        <v>29</v>
      </c>
      <c r="Q83" s="86">
        <v>20</v>
      </c>
      <c r="R83" s="86">
        <v>800</v>
      </c>
      <c r="S83" s="86">
        <v>20000</v>
      </c>
      <c r="T83" s="124"/>
      <c r="U83" s="137" t="s">
        <v>0</v>
      </c>
    </row>
    <row r="84" spans="13:21" x14ac:dyDescent="0.25">
      <c r="M84" s="109">
        <v>46023</v>
      </c>
      <c r="N84" s="123">
        <v>1</v>
      </c>
      <c r="O84" s="86">
        <v>2536512301</v>
      </c>
      <c r="P84" s="86" t="s">
        <v>29</v>
      </c>
      <c r="Q84" s="86">
        <v>20</v>
      </c>
      <c r="R84" s="86">
        <v>800</v>
      </c>
      <c r="S84" s="86">
        <v>20000</v>
      </c>
      <c r="T84" s="124"/>
      <c r="U84" s="137" t="s">
        <v>0</v>
      </c>
    </row>
    <row r="85" spans="13:21" x14ac:dyDescent="0.25">
      <c r="M85" s="109">
        <v>46024</v>
      </c>
      <c r="N85" s="126">
        <v>1</v>
      </c>
      <c r="O85" s="158">
        <v>2600112301</v>
      </c>
      <c r="P85" s="110" t="s">
        <v>29</v>
      </c>
      <c r="Q85" s="110">
        <v>20</v>
      </c>
      <c r="R85" s="110">
        <v>800</v>
      </c>
      <c r="S85" s="110">
        <v>20000</v>
      </c>
      <c r="T85" s="124">
        <v>20645</v>
      </c>
      <c r="U85" s="137" t="s">
        <v>0</v>
      </c>
    </row>
    <row r="86" spans="13:21" x14ac:dyDescent="0.25">
      <c r="M86" s="109">
        <v>46025</v>
      </c>
      <c r="N86" s="126">
        <v>1</v>
      </c>
      <c r="O86" s="158">
        <v>2600312301</v>
      </c>
      <c r="P86" s="110" t="s">
        <v>29</v>
      </c>
      <c r="Q86" s="110">
        <v>20</v>
      </c>
      <c r="R86" s="110">
        <v>800</v>
      </c>
      <c r="S86" s="110">
        <v>20000</v>
      </c>
      <c r="T86" s="124">
        <v>20722</v>
      </c>
      <c r="U86" s="137" t="s">
        <v>0</v>
      </c>
    </row>
    <row r="87" spans="13:21" x14ac:dyDescent="0.25">
      <c r="M87" s="109">
        <v>46026</v>
      </c>
      <c r="N87" s="126">
        <v>1</v>
      </c>
      <c r="O87" s="158">
        <v>2600312302</v>
      </c>
      <c r="P87" s="110" t="s">
        <v>29</v>
      </c>
      <c r="Q87" s="110">
        <v>20</v>
      </c>
      <c r="R87" s="110">
        <v>800</v>
      </c>
      <c r="S87" s="110">
        <v>20000</v>
      </c>
      <c r="T87" s="124">
        <v>20559</v>
      </c>
      <c r="U87" s="137" t="s">
        <v>0</v>
      </c>
    </row>
    <row r="88" spans="13:21" x14ac:dyDescent="0.25">
      <c r="M88" s="109">
        <v>46027</v>
      </c>
      <c r="N88" s="126">
        <v>1</v>
      </c>
      <c r="O88" s="158">
        <v>2600412301</v>
      </c>
      <c r="P88" s="110" t="s">
        <v>29</v>
      </c>
      <c r="Q88" s="110">
        <v>20</v>
      </c>
      <c r="R88" s="110">
        <v>800</v>
      </c>
      <c r="S88" s="110">
        <v>20000</v>
      </c>
      <c r="T88" s="124">
        <v>20532</v>
      </c>
      <c r="U88" s="137" t="s">
        <v>0</v>
      </c>
    </row>
    <row r="89" spans="13:21" x14ac:dyDescent="0.25">
      <c r="M89" s="109">
        <v>46028</v>
      </c>
      <c r="N89" s="126">
        <v>1</v>
      </c>
      <c r="O89" s="158">
        <v>2600512301</v>
      </c>
      <c r="P89" s="110" t="s">
        <v>29</v>
      </c>
      <c r="Q89" s="110">
        <v>20</v>
      </c>
      <c r="R89" s="110">
        <v>800</v>
      </c>
      <c r="S89" s="110">
        <v>20000</v>
      </c>
      <c r="T89" s="124">
        <v>20581</v>
      </c>
      <c r="U89" s="137" t="s">
        <v>0</v>
      </c>
    </row>
    <row r="90" spans="13:21" x14ac:dyDescent="0.25">
      <c r="M90" s="109">
        <v>46039</v>
      </c>
      <c r="N90" s="126">
        <v>1</v>
      </c>
      <c r="O90" s="110">
        <v>2601612301</v>
      </c>
      <c r="P90" s="110" t="s">
        <v>29</v>
      </c>
      <c r="Q90" s="110">
        <v>20</v>
      </c>
      <c r="R90" s="110">
        <v>800</v>
      </c>
      <c r="S90" s="110">
        <v>20000</v>
      </c>
      <c r="T90" s="124">
        <v>20661</v>
      </c>
      <c r="U90" s="137" t="s">
        <v>0</v>
      </c>
    </row>
    <row r="91" spans="13:21" x14ac:dyDescent="0.25">
      <c r="M91" s="109">
        <v>46039</v>
      </c>
      <c r="N91" s="126">
        <v>1</v>
      </c>
      <c r="O91" s="110">
        <v>2601712301</v>
      </c>
      <c r="P91" s="110" t="s">
        <v>29</v>
      </c>
      <c r="Q91" s="110">
        <v>20</v>
      </c>
      <c r="R91" s="110">
        <v>800</v>
      </c>
      <c r="S91" s="110">
        <v>20000</v>
      </c>
      <c r="T91" s="124">
        <v>20654</v>
      </c>
      <c r="U91" s="159" t="s">
        <v>0</v>
      </c>
    </row>
    <row r="92" spans="13:21" x14ac:dyDescent="0.25">
      <c r="M92" s="109">
        <v>46042</v>
      </c>
      <c r="N92" s="126">
        <v>1</v>
      </c>
      <c r="O92" s="110">
        <v>2601912301</v>
      </c>
      <c r="P92" s="110" t="s">
        <v>29</v>
      </c>
      <c r="Q92" s="110">
        <v>5</v>
      </c>
      <c r="R92" s="110">
        <v>200</v>
      </c>
      <c r="S92" s="110">
        <v>5000</v>
      </c>
      <c r="T92" s="124">
        <v>5163</v>
      </c>
      <c r="U92" s="137" t="s">
        <v>0</v>
      </c>
    </row>
    <row r="93" spans="13:21" x14ac:dyDescent="0.25">
      <c r="M93" s="109">
        <v>46043</v>
      </c>
      <c r="N93" s="126">
        <v>1</v>
      </c>
      <c r="O93" s="110">
        <v>2602012301</v>
      </c>
      <c r="P93" s="110" t="s">
        <v>29</v>
      </c>
      <c r="Q93" s="110">
        <v>13</v>
      </c>
      <c r="R93" s="110">
        <v>520</v>
      </c>
      <c r="S93" s="110">
        <v>13000</v>
      </c>
      <c r="T93" s="124">
        <v>13398</v>
      </c>
      <c r="U93" s="159" t="s">
        <v>0</v>
      </c>
    </row>
    <row r="94" spans="13:21" x14ac:dyDescent="0.25">
      <c r="M94" s="109">
        <v>46062</v>
      </c>
      <c r="N94" s="123">
        <v>1</v>
      </c>
      <c r="O94" s="86">
        <v>2603812301</v>
      </c>
      <c r="P94" s="86" t="s">
        <v>29</v>
      </c>
      <c r="Q94" s="86">
        <v>20</v>
      </c>
      <c r="R94" s="86">
        <v>800</v>
      </c>
      <c r="S94" s="86">
        <v>20000</v>
      </c>
      <c r="T94" s="124"/>
      <c r="U94" s="159" t="s">
        <v>0</v>
      </c>
    </row>
    <row r="95" spans="13:21" x14ac:dyDescent="0.25">
      <c r="M95" s="109">
        <v>46065</v>
      </c>
      <c r="N95" s="123">
        <v>1</v>
      </c>
      <c r="O95" s="86">
        <v>2604012301</v>
      </c>
      <c r="P95" s="86" t="s">
        <v>29</v>
      </c>
      <c r="Q95" s="86">
        <v>20</v>
      </c>
      <c r="R95" s="86">
        <v>800</v>
      </c>
      <c r="S95" s="86">
        <v>20000</v>
      </c>
      <c r="T95" s="124">
        <v>20763</v>
      </c>
      <c r="U95" s="159" t="s">
        <v>0</v>
      </c>
    </row>
    <row r="96" spans="13:21" x14ac:dyDescent="0.25">
      <c r="M96" s="109">
        <v>46072</v>
      </c>
      <c r="N96" s="123">
        <v>1</v>
      </c>
      <c r="O96" s="86">
        <v>2604412301</v>
      </c>
      <c r="P96" s="86" t="s">
        <v>29</v>
      </c>
      <c r="Q96" s="86">
        <v>20</v>
      </c>
      <c r="R96" s="86">
        <v>800</v>
      </c>
      <c r="S96" s="86">
        <v>20000</v>
      </c>
      <c r="T96" s="124">
        <v>20753</v>
      </c>
      <c r="U96" s="159" t="s">
        <v>0</v>
      </c>
    </row>
    <row r="97" spans="13:21" x14ac:dyDescent="0.25">
      <c r="M97" s="109">
        <v>46075</v>
      </c>
      <c r="N97" s="123">
        <v>1</v>
      </c>
      <c r="O97" s="86">
        <v>2605012301</v>
      </c>
      <c r="P97" s="86" t="s">
        <v>29</v>
      </c>
      <c r="Q97" s="86">
        <v>20</v>
      </c>
      <c r="R97" s="86">
        <v>800</v>
      </c>
      <c r="S97" s="86">
        <v>20000</v>
      </c>
      <c r="T97" s="124">
        <v>20178</v>
      </c>
      <c r="U97" s="159" t="s">
        <v>0</v>
      </c>
    </row>
    <row r="98" spans="13:21" x14ac:dyDescent="0.25">
      <c r="M98" s="109">
        <v>46079</v>
      </c>
      <c r="N98" s="123">
        <v>1</v>
      </c>
      <c r="O98" s="86">
        <v>2605312301</v>
      </c>
      <c r="P98" s="86" t="s">
        <v>29</v>
      </c>
      <c r="Q98" s="86">
        <v>20</v>
      </c>
      <c r="R98" s="86">
        <v>800</v>
      </c>
      <c r="S98" s="86">
        <v>20000</v>
      </c>
      <c r="T98" s="124">
        <v>20702</v>
      </c>
      <c r="U98" s="159" t="s">
        <v>0</v>
      </c>
    </row>
    <row r="99" spans="13:21" x14ac:dyDescent="0.25">
      <c r="M99" s="109">
        <v>46084</v>
      </c>
      <c r="N99" s="123">
        <v>1</v>
      </c>
      <c r="O99" s="86">
        <v>2605712301</v>
      </c>
      <c r="P99" s="86" t="s">
        <v>29</v>
      </c>
      <c r="Q99" s="86">
        <v>20</v>
      </c>
      <c r="R99" s="86">
        <v>800</v>
      </c>
      <c r="S99" s="86">
        <v>20000</v>
      </c>
      <c r="T99" s="124">
        <v>20748</v>
      </c>
      <c r="U99" s="159" t="s">
        <v>0</v>
      </c>
    </row>
    <row r="100" spans="13:21" x14ac:dyDescent="0.25">
      <c r="M100" s="109">
        <v>46085</v>
      </c>
      <c r="N100" s="123">
        <v>1</v>
      </c>
      <c r="O100" s="86">
        <v>2606212301</v>
      </c>
      <c r="P100" s="86" t="s">
        <v>29</v>
      </c>
      <c r="Q100" s="86">
        <v>20</v>
      </c>
      <c r="R100" s="86">
        <v>800</v>
      </c>
      <c r="S100" s="86">
        <v>20000</v>
      </c>
      <c r="T100" s="124"/>
      <c r="U100" s="159" t="s">
        <v>0</v>
      </c>
    </row>
    <row r="101" spans="13:21" x14ac:dyDescent="0.25">
      <c r="M101" s="109">
        <v>46086</v>
      </c>
      <c r="N101" s="123">
        <v>1</v>
      </c>
      <c r="O101" s="86">
        <v>2606312301</v>
      </c>
      <c r="P101" s="86" t="s">
        <v>29</v>
      </c>
      <c r="Q101" s="86">
        <v>20</v>
      </c>
      <c r="R101" s="86">
        <v>800</v>
      </c>
      <c r="S101" s="86">
        <v>20000</v>
      </c>
      <c r="T101" s="124"/>
      <c r="U101" s="159" t="s">
        <v>0</v>
      </c>
    </row>
    <row r="102" spans="13:21" x14ac:dyDescent="0.25">
      <c r="M102" s="109">
        <v>46087</v>
      </c>
      <c r="N102" s="123">
        <v>1</v>
      </c>
      <c r="O102" s="86">
        <v>2606412301</v>
      </c>
      <c r="P102" s="86" t="s">
        <v>29</v>
      </c>
      <c r="Q102" s="86">
        <v>20</v>
      </c>
      <c r="R102" s="86">
        <v>800</v>
      </c>
      <c r="S102" s="86">
        <v>20000</v>
      </c>
      <c r="T102" s="124">
        <v>20786</v>
      </c>
      <c r="U102" s="159" t="s">
        <v>0</v>
      </c>
    </row>
    <row r="103" spans="13:21" x14ac:dyDescent="0.25">
      <c r="M103" s="109">
        <v>46089</v>
      </c>
      <c r="N103" s="123">
        <v>1</v>
      </c>
      <c r="O103" s="86">
        <v>2606512301</v>
      </c>
      <c r="P103" s="86" t="s">
        <v>29</v>
      </c>
      <c r="Q103" s="86">
        <v>20</v>
      </c>
      <c r="R103" s="86">
        <v>800</v>
      </c>
      <c r="S103" s="86">
        <v>20000</v>
      </c>
      <c r="T103" s="124">
        <v>20712</v>
      </c>
      <c r="U103" s="159" t="s">
        <v>0</v>
      </c>
    </row>
    <row r="104" spans="13:21" x14ac:dyDescent="0.25">
      <c r="M104" s="109">
        <v>46091</v>
      </c>
      <c r="N104" s="123">
        <v>1</v>
      </c>
      <c r="O104" s="86">
        <v>2606712301</v>
      </c>
      <c r="P104" s="86" t="s">
        <v>29</v>
      </c>
      <c r="Q104" s="86">
        <v>20</v>
      </c>
      <c r="R104" s="86">
        <v>800</v>
      </c>
      <c r="S104" s="86">
        <v>20000</v>
      </c>
      <c r="T104" s="124"/>
      <c r="U104" s="159" t="s">
        <v>0</v>
      </c>
    </row>
    <row r="105" spans="13:21" x14ac:dyDescent="0.25">
      <c r="M105" s="109">
        <v>46092</v>
      </c>
      <c r="N105" s="123">
        <v>1</v>
      </c>
      <c r="O105" s="86">
        <v>2606912301</v>
      </c>
      <c r="P105" s="86" t="s">
        <v>29</v>
      </c>
      <c r="Q105" s="86">
        <v>20</v>
      </c>
      <c r="R105" s="86">
        <v>800</v>
      </c>
      <c r="S105" s="86">
        <v>20000</v>
      </c>
      <c r="T105" s="124"/>
      <c r="U105" s="159" t="s">
        <v>0</v>
      </c>
    </row>
    <row r="106" spans="13:21" x14ac:dyDescent="0.25">
      <c r="M106" s="109">
        <v>46094</v>
      </c>
      <c r="N106" s="123">
        <v>1</v>
      </c>
      <c r="O106" s="86">
        <v>2607012301</v>
      </c>
      <c r="P106" s="86" t="s">
        <v>29</v>
      </c>
      <c r="Q106" s="86">
        <v>20</v>
      </c>
      <c r="R106" s="86">
        <v>800</v>
      </c>
      <c r="S106" s="86">
        <v>20000</v>
      </c>
      <c r="T106" s="124">
        <v>20791</v>
      </c>
      <c r="U106" s="159" t="s">
        <v>0</v>
      </c>
    </row>
    <row r="107" spans="13:21" x14ac:dyDescent="0.25">
      <c r="M107" s="109">
        <v>46096</v>
      </c>
      <c r="N107" s="123">
        <v>1</v>
      </c>
      <c r="O107" s="86">
        <v>2607212301</v>
      </c>
      <c r="P107" s="86" t="s">
        <v>29</v>
      </c>
      <c r="Q107" s="86">
        <v>20</v>
      </c>
      <c r="R107" s="86">
        <v>800</v>
      </c>
      <c r="S107" s="86">
        <v>20000</v>
      </c>
      <c r="T107" s="124">
        <v>20816</v>
      </c>
      <c r="U107" s="159" t="s">
        <v>0</v>
      </c>
    </row>
    <row r="108" spans="13:21" x14ac:dyDescent="0.25">
      <c r="M108" s="109">
        <v>46098</v>
      </c>
      <c r="N108" s="123">
        <v>1</v>
      </c>
      <c r="O108" s="86">
        <v>2607412301</v>
      </c>
      <c r="P108" s="86" t="s">
        <v>29</v>
      </c>
      <c r="Q108" s="86">
        <v>20</v>
      </c>
      <c r="R108" s="86">
        <v>800</v>
      </c>
      <c r="S108" s="86">
        <v>20000</v>
      </c>
      <c r="T108" s="124">
        <v>20755</v>
      </c>
      <c r="U108" s="159" t="s">
        <v>0</v>
      </c>
    </row>
    <row r="109" spans="13:21" x14ac:dyDescent="0.25">
      <c r="M109" s="109">
        <v>46099</v>
      </c>
      <c r="N109" s="123">
        <v>1</v>
      </c>
      <c r="O109" s="86">
        <v>2607612301</v>
      </c>
      <c r="P109" s="86" t="s">
        <v>29</v>
      </c>
      <c r="Q109" s="86">
        <v>20</v>
      </c>
      <c r="R109" s="86">
        <v>800</v>
      </c>
      <c r="S109" s="86">
        <v>20000</v>
      </c>
      <c r="T109" s="124">
        <v>20758</v>
      </c>
      <c r="U109" s="159" t="s">
        <v>0</v>
      </c>
    </row>
    <row r="110" spans="13:21" x14ac:dyDescent="0.25">
      <c r="M110" s="109">
        <v>46101</v>
      </c>
      <c r="N110" s="123">
        <v>1</v>
      </c>
      <c r="O110" s="86">
        <v>2607712301</v>
      </c>
      <c r="P110" s="86" t="s">
        <v>29</v>
      </c>
      <c r="Q110" s="86">
        <v>20</v>
      </c>
      <c r="R110" s="86">
        <v>800</v>
      </c>
      <c r="S110" s="86">
        <v>20000</v>
      </c>
      <c r="T110" s="124">
        <v>20785</v>
      </c>
      <c r="U110" s="159" t="s">
        <v>0</v>
      </c>
    </row>
    <row r="111" spans="13:21" x14ac:dyDescent="0.25">
      <c r="M111" s="109">
        <v>46102</v>
      </c>
      <c r="N111" s="123">
        <v>1</v>
      </c>
      <c r="O111" s="86">
        <v>2607912301</v>
      </c>
      <c r="P111" s="86" t="s">
        <v>29</v>
      </c>
      <c r="Q111" s="86">
        <v>20</v>
      </c>
      <c r="R111" s="86">
        <v>800</v>
      </c>
      <c r="S111" s="86">
        <v>20000</v>
      </c>
      <c r="T111" s="124">
        <v>20813</v>
      </c>
      <c r="U111" s="159" t="s">
        <v>0</v>
      </c>
    </row>
    <row r="112" spans="13:21" x14ac:dyDescent="0.25">
      <c r="M112" s="109">
        <v>46103</v>
      </c>
      <c r="N112" s="123">
        <v>1</v>
      </c>
      <c r="O112" s="86">
        <v>2608012301</v>
      </c>
      <c r="P112" s="86" t="s">
        <v>29</v>
      </c>
      <c r="Q112" s="86">
        <v>20</v>
      </c>
      <c r="R112" s="86">
        <v>800</v>
      </c>
      <c r="S112" s="86">
        <v>20000</v>
      </c>
      <c r="T112" s="124">
        <v>20800</v>
      </c>
      <c r="U112" s="159" t="s">
        <v>0</v>
      </c>
    </row>
    <row r="113" spans="13:21" x14ac:dyDescent="0.25">
      <c r="M113" s="109">
        <v>46105</v>
      </c>
      <c r="N113" s="123">
        <v>1</v>
      </c>
      <c r="O113" s="86">
        <v>2608112301</v>
      </c>
      <c r="P113" s="86" t="s">
        <v>29</v>
      </c>
      <c r="Q113" s="86">
        <v>20</v>
      </c>
      <c r="R113" s="86">
        <v>800</v>
      </c>
      <c r="S113" s="86">
        <v>20000</v>
      </c>
      <c r="T113" s="124">
        <v>20719</v>
      </c>
      <c r="U113" s="159" t="s">
        <v>0</v>
      </c>
    </row>
    <row r="114" spans="13:21" x14ac:dyDescent="0.25">
      <c r="M114" s="109">
        <v>46106</v>
      </c>
      <c r="N114" s="123">
        <v>1</v>
      </c>
      <c r="O114" s="86">
        <v>2608312301</v>
      </c>
      <c r="P114" s="86" t="s">
        <v>29</v>
      </c>
      <c r="Q114" s="86">
        <v>20</v>
      </c>
      <c r="R114" s="86">
        <v>800</v>
      </c>
      <c r="S114" s="86">
        <v>20000</v>
      </c>
      <c r="T114" s="124"/>
      <c r="U114" s="159" t="s">
        <v>0</v>
      </c>
    </row>
    <row r="115" spans="13:21" x14ac:dyDescent="0.25">
      <c r="M115" s="109">
        <v>46108</v>
      </c>
      <c r="N115" s="123">
        <v>1</v>
      </c>
      <c r="O115" s="86">
        <v>2608412301</v>
      </c>
      <c r="P115" s="86" t="s">
        <v>29</v>
      </c>
      <c r="Q115" s="86">
        <v>20</v>
      </c>
      <c r="R115" s="86">
        <v>800</v>
      </c>
      <c r="S115" s="86">
        <v>20000</v>
      </c>
      <c r="T115" s="124">
        <v>20827</v>
      </c>
      <c r="U115" s="159" t="s">
        <v>0</v>
      </c>
    </row>
    <row r="116" spans="13:21" x14ac:dyDescent="0.25">
      <c r="M116" s="109">
        <v>46109</v>
      </c>
      <c r="N116" s="123">
        <v>1</v>
      </c>
      <c r="O116" s="86">
        <v>2608612301</v>
      </c>
      <c r="P116" s="86" t="s">
        <v>29</v>
      </c>
      <c r="Q116" s="86">
        <v>20</v>
      </c>
      <c r="R116" s="86">
        <v>800</v>
      </c>
      <c r="S116" s="86">
        <v>20000</v>
      </c>
      <c r="T116" s="124"/>
      <c r="U116" s="159" t="s">
        <v>0</v>
      </c>
    </row>
    <row r="117" spans="13:21" x14ac:dyDescent="0.25">
      <c r="M117" s="109">
        <v>46110</v>
      </c>
      <c r="N117" s="123">
        <v>1</v>
      </c>
      <c r="O117" s="86">
        <v>2608712301</v>
      </c>
      <c r="P117" s="86" t="s">
        <v>29</v>
      </c>
      <c r="Q117" s="86">
        <v>20</v>
      </c>
      <c r="R117" s="86">
        <v>800</v>
      </c>
      <c r="S117" s="86">
        <v>20000</v>
      </c>
      <c r="T117" s="124"/>
      <c r="U117" s="159" t="s">
        <v>0</v>
      </c>
    </row>
    <row r="118" spans="13:21" x14ac:dyDescent="0.25">
      <c r="M118" s="109">
        <v>46114</v>
      </c>
      <c r="N118" s="123">
        <v>1</v>
      </c>
      <c r="O118" s="86">
        <v>2609112301</v>
      </c>
      <c r="P118" s="86" t="s">
        <v>29</v>
      </c>
      <c r="Q118" s="86">
        <v>20</v>
      </c>
      <c r="R118" s="86">
        <v>800</v>
      </c>
      <c r="S118" s="86">
        <v>20000</v>
      </c>
      <c r="T118" s="124">
        <v>20806</v>
      </c>
      <c r="U118" s="159" t="s">
        <v>0</v>
      </c>
    </row>
    <row r="119" spans="13:21" x14ac:dyDescent="0.25">
      <c r="M119" s="109">
        <v>46116</v>
      </c>
      <c r="N119" s="123">
        <v>1</v>
      </c>
      <c r="O119" s="86">
        <v>2609212301</v>
      </c>
      <c r="P119" s="86" t="s">
        <v>29</v>
      </c>
      <c r="Q119" s="86">
        <v>20</v>
      </c>
      <c r="R119" s="86">
        <v>800</v>
      </c>
      <c r="S119" s="86">
        <v>20000</v>
      </c>
      <c r="T119" s="124">
        <v>20794</v>
      </c>
      <c r="U119" s="159" t="s">
        <v>0</v>
      </c>
    </row>
    <row r="120" spans="13:21" x14ac:dyDescent="0.25">
      <c r="M120" s="109">
        <v>46117</v>
      </c>
      <c r="N120" s="123">
        <v>1</v>
      </c>
      <c r="O120" s="86">
        <v>2609412301</v>
      </c>
      <c r="P120" s="86" t="s">
        <v>29</v>
      </c>
      <c r="Q120" s="86">
        <v>20</v>
      </c>
      <c r="R120" s="86">
        <v>800</v>
      </c>
      <c r="S120" s="86">
        <v>20000</v>
      </c>
      <c r="T120" s="124">
        <v>20816</v>
      </c>
      <c r="U120" s="159" t="s">
        <v>0</v>
      </c>
    </row>
    <row r="121" spans="13:21" x14ac:dyDescent="0.25">
      <c r="M121" s="109">
        <v>46123</v>
      </c>
      <c r="N121" s="123">
        <v>1</v>
      </c>
      <c r="O121" s="86">
        <v>2609512301</v>
      </c>
      <c r="P121" s="86" t="s">
        <v>29</v>
      </c>
      <c r="Q121" s="86">
        <v>20</v>
      </c>
      <c r="R121" s="86">
        <v>800</v>
      </c>
      <c r="S121" s="86">
        <v>20000</v>
      </c>
      <c r="T121" s="124">
        <v>20803</v>
      </c>
      <c r="U121" s="159" t="s">
        <v>0</v>
      </c>
    </row>
    <row r="122" spans="13:21" x14ac:dyDescent="0.25">
      <c r="M122" s="109">
        <v>46124</v>
      </c>
      <c r="N122" s="123">
        <v>1</v>
      </c>
      <c r="O122" s="86">
        <v>2610112301</v>
      </c>
      <c r="P122" s="86" t="s">
        <v>29</v>
      </c>
      <c r="Q122" s="86">
        <v>20</v>
      </c>
      <c r="R122" s="86">
        <v>800</v>
      </c>
      <c r="S122" s="86">
        <v>20000</v>
      </c>
      <c r="T122" s="124">
        <v>20753</v>
      </c>
      <c r="U122" s="159" t="s">
        <v>0</v>
      </c>
    </row>
    <row r="123" spans="13:21" x14ac:dyDescent="0.25">
      <c r="M123" s="109">
        <v>46126</v>
      </c>
      <c r="N123" s="123">
        <v>1</v>
      </c>
      <c r="O123" s="86">
        <v>2610212301</v>
      </c>
      <c r="P123" s="86" t="s">
        <v>29</v>
      </c>
      <c r="Q123" s="86">
        <v>20</v>
      </c>
      <c r="R123" s="86">
        <v>800</v>
      </c>
      <c r="S123" s="86">
        <v>20000</v>
      </c>
      <c r="T123" s="124">
        <v>20789</v>
      </c>
      <c r="U123" s="159" t="s">
        <v>0</v>
      </c>
    </row>
    <row r="124" spans="13:21" x14ac:dyDescent="0.25">
      <c r="M124" s="109">
        <v>46126</v>
      </c>
      <c r="N124" s="126">
        <v>1</v>
      </c>
      <c r="O124" s="158">
        <v>2610412301</v>
      </c>
      <c r="P124" s="86" t="s">
        <v>29</v>
      </c>
      <c r="Q124" s="86">
        <v>20</v>
      </c>
      <c r="R124" s="86">
        <v>800</v>
      </c>
      <c r="S124" s="86">
        <v>20000</v>
      </c>
      <c r="T124" s="124">
        <v>20722</v>
      </c>
      <c r="U124" s="159" t="s">
        <v>0</v>
      </c>
    </row>
    <row r="125" spans="13:21" x14ac:dyDescent="0.25">
      <c r="M125" s="109">
        <v>46131</v>
      </c>
      <c r="N125" s="126">
        <v>1</v>
      </c>
      <c r="O125" s="158">
        <v>2610712301</v>
      </c>
      <c r="P125" s="86" t="s">
        <v>29</v>
      </c>
      <c r="Q125" s="86">
        <v>20</v>
      </c>
      <c r="R125" s="86">
        <v>800</v>
      </c>
      <c r="S125" s="86">
        <v>20000</v>
      </c>
      <c r="T125" s="124">
        <v>20837</v>
      </c>
      <c r="U125" s="159" t="s">
        <v>0</v>
      </c>
    </row>
    <row r="126" spans="13:21" x14ac:dyDescent="0.25">
      <c r="M126" s="109">
        <v>46132</v>
      </c>
      <c r="N126" s="126">
        <v>1</v>
      </c>
      <c r="O126" s="158">
        <v>2610912301</v>
      </c>
      <c r="P126" s="86" t="s">
        <v>29</v>
      </c>
      <c r="Q126" s="86">
        <v>20</v>
      </c>
      <c r="R126" s="86">
        <v>800</v>
      </c>
      <c r="S126" s="86">
        <v>20000</v>
      </c>
      <c r="T126" s="124">
        <v>20782</v>
      </c>
      <c r="U126" s="159" t="s">
        <v>0</v>
      </c>
    </row>
    <row r="127" spans="13:21" x14ac:dyDescent="0.25">
      <c r="M127" s="109">
        <v>46133</v>
      </c>
      <c r="N127" s="126">
        <v>1</v>
      </c>
      <c r="O127" s="158">
        <v>2611012301</v>
      </c>
      <c r="P127" s="86" t="s">
        <v>29</v>
      </c>
      <c r="Q127" s="86">
        <v>20</v>
      </c>
      <c r="R127" s="86">
        <v>800</v>
      </c>
      <c r="S127" s="86">
        <v>20000</v>
      </c>
      <c r="T127" s="124">
        <v>20772</v>
      </c>
      <c r="U127" s="159" t="s">
        <v>0</v>
      </c>
    </row>
    <row r="128" spans="13:21" x14ac:dyDescent="0.25">
      <c r="M128" s="109">
        <v>46134</v>
      </c>
      <c r="N128" s="126">
        <v>1</v>
      </c>
      <c r="O128" s="158">
        <v>2611112301</v>
      </c>
      <c r="P128" s="86" t="s">
        <v>29</v>
      </c>
      <c r="Q128" s="86">
        <v>20</v>
      </c>
      <c r="R128" s="86">
        <v>800</v>
      </c>
      <c r="S128" s="86">
        <v>20000</v>
      </c>
      <c r="T128" s="124">
        <v>20806</v>
      </c>
      <c r="U128" s="159" t="s">
        <v>0</v>
      </c>
    </row>
    <row r="129" spans="13:21" x14ac:dyDescent="0.25">
      <c r="M129" s="109">
        <v>46135</v>
      </c>
      <c r="N129" s="123">
        <v>1</v>
      </c>
      <c r="O129" s="86">
        <v>2611212301</v>
      </c>
      <c r="P129" s="86" t="s">
        <v>29</v>
      </c>
      <c r="Q129" s="86">
        <v>20</v>
      </c>
      <c r="R129" s="86">
        <v>800</v>
      </c>
      <c r="S129" s="86">
        <v>20000</v>
      </c>
      <c r="T129" s="124">
        <v>20783</v>
      </c>
      <c r="U129" s="159" t="s">
        <v>0</v>
      </c>
    </row>
    <row r="130" spans="13:21" x14ac:dyDescent="0.25">
      <c r="M130" s="109">
        <v>46135</v>
      </c>
      <c r="N130" s="123">
        <v>1</v>
      </c>
      <c r="O130" s="86">
        <v>2611312301</v>
      </c>
      <c r="P130" s="86" t="s">
        <v>29</v>
      </c>
      <c r="Q130" s="86">
        <v>20</v>
      </c>
      <c r="R130" s="86">
        <v>800</v>
      </c>
      <c r="S130" s="86">
        <v>20000</v>
      </c>
      <c r="T130" s="124">
        <v>20779</v>
      </c>
      <c r="U130" s="159" t="s">
        <v>0</v>
      </c>
    </row>
    <row r="131" spans="13:21" x14ac:dyDescent="0.25">
      <c r="M131" s="109">
        <v>46136</v>
      </c>
      <c r="N131" s="123">
        <v>1</v>
      </c>
      <c r="O131" s="86">
        <v>2611312302</v>
      </c>
      <c r="P131" s="86" t="s">
        <v>29</v>
      </c>
      <c r="Q131" s="86">
        <v>20</v>
      </c>
      <c r="R131" s="86">
        <v>800</v>
      </c>
      <c r="S131" s="86">
        <v>20000</v>
      </c>
      <c r="T131" s="124">
        <v>20778</v>
      </c>
      <c r="U131" s="159" t="s">
        <v>0</v>
      </c>
    </row>
    <row r="132" spans="13:21" x14ac:dyDescent="0.25">
      <c r="M132" s="109">
        <v>46138</v>
      </c>
      <c r="N132" s="123">
        <v>1</v>
      </c>
      <c r="O132" s="86">
        <v>2611412301</v>
      </c>
      <c r="P132" s="86" t="s">
        <v>29</v>
      </c>
      <c r="Q132" s="86">
        <v>20</v>
      </c>
      <c r="R132" s="86">
        <v>800</v>
      </c>
      <c r="S132" s="86">
        <v>20000</v>
      </c>
      <c r="T132" s="124">
        <v>20737</v>
      </c>
      <c r="U132" s="159" t="s">
        <v>0</v>
      </c>
    </row>
    <row r="133" spans="13:21" x14ac:dyDescent="0.25">
      <c r="M133" s="109">
        <v>46139</v>
      </c>
      <c r="N133" s="123">
        <v>1</v>
      </c>
      <c r="O133" s="86">
        <v>2611612301</v>
      </c>
      <c r="P133" s="86" t="s">
        <v>29</v>
      </c>
      <c r="Q133" s="86">
        <v>20</v>
      </c>
      <c r="R133" s="86">
        <v>800</v>
      </c>
      <c r="S133" s="86">
        <v>20000</v>
      </c>
      <c r="T133" s="124">
        <v>20749</v>
      </c>
      <c r="U133" s="159" t="s">
        <v>0</v>
      </c>
    </row>
    <row r="134" spans="13:21" x14ac:dyDescent="0.25">
      <c r="M134" s="109">
        <v>46136</v>
      </c>
      <c r="N134" s="123">
        <v>1</v>
      </c>
      <c r="O134" s="158">
        <v>2611712301</v>
      </c>
      <c r="P134" s="86" t="s">
        <v>29</v>
      </c>
      <c r="Q134" s="86">
        <v>20</v>
      </c>
      <c r="R134" s="86">
        <v>800</v>
      </c>
      <c r="S134" s="86">
        <v>20000</v>
      </c>
      <c r="T134" s="124">
        <v>20757</v>
      </c>
      <c r="U134" s="159" t="s">
        <v>0</v>
      </c>
    </row>
    <row r="135" spans="13:21" x14ac:dyDescent="0.25">
      <c r="M135" s="109">
        <v>46142</v>
      </c>
      <c r="N135" s="123">
        <v>1</v>
      </c>
      <c r="O135" s="86">
        <v>2611812301</v>
      </c>
      <c r="P135" s="86" t="s">
        <v>29</v>
      </c>
      <c r="Q135" s="86">
        <v>20</v>
      </c>
      <c r="R135" s="86">
        <v>800</v>
      </c>
      <c r="S135" s="86">
        <v>20000</v>
      </c>
      <c r="T135" s="124">
        <v>20803</v>
      </c>
      <c r="U135" s="159" t="s">
        <v>0</v>
      </c>
    </row>
    <row r="136" spans="13:21" x14ac:dyDescent="0.25">
      <c r="M136" s="109">
        <v>46144</v>
      </c>
      <c r="N136" s="123">
        <v>1</v>
      </c>
      <c r="O136" s="158">
        <v>2612012301</v>
      </c>
      <c r="P136" s="86" t="s">
        <v>29</v>
      </c>
      <c r="Q136" s="86">
        <v>20</v>
      </c>
      <c r="R136" s="86">
        <v>800</v>
      </c>
      <c r="S136" s="86">
        <v>20000</v>
      </c>
      <c r="T136" s="124"/>
      <c r="U136" s="159" t="s">
        <v>0</v>
      </c>
    </row>
    <row r="137" spans="13:21" x14ac:dyDescent="0.25">
      <c r="M137" s="109">
        <v>46145</v>
      </c>
      <c r="N137" s="123">
        <v>1</v>
      </c>
      <c r="O137" s="86">
        <v>2612212301</v>
      </c>
      <c r="P137" s="86" t="s">
        <v>29</v>
      </c>
      <c r="Q137" s="86">
        <v>20</v>
      </c>
      <c r="R137" s="86">
        <v>800</v>
      </c>
      <c r="S137" s="86">
        <v>20000</v>
      </c>
      <c r="T137" s="124"/>
      <c r="U137" s="159" t="s">
        <v>0</v>
      </c>
    </row>
    <row r="138" spans="13:21" x14ac:dyDescent="0.25">
      <c r="M138" s="94">
        <v>46147</v>
      </c>
      <c r="N138" s="123">
        <v>1</v>
      </c>
      <c r="O138" s="86">
        <v>2612312301</v>
      </c>
      <c r="P138" s="86" t="s">
        <v>29</v>
      </c>
      <c r="Q138" s="86">
        <v>14</v>
      </c>
      <c r="R138" s="86">
        <v>560</v>
      </c>
      <c r="S138" s="86">
        <v>14000</v>
      </c>
      <c r="T138" s="124">
        <v>14594</v>
      </c>
      <c r="U138" s="159" t="s">
        <v>0</v>
      </c>
    </row>
    <row r="139" spans="13:21" x14ac:dyDescent="0.25">
      <c r="M139" s="94">
        <v>46150</v>
      </c>
      <c r="N139" s="123">
        <v>1</v>
      </c>
      <c r="O139" s="158">
        <v>2612712301</v>
      </c>
      <c r="P139" s="86" t="s">
        <v>29</v>
      </c>
      <c r="Q139" s="86">
        <v>20</v>
      </c>
      <c r="R139" s="86">
        <v>800</v>
      </c>
      <c r="S139" s="86">
        <v>20000</v>
      </c>
      <c r="T139" s="124">
        <v>20840</v>
      </c>
      <c r="U139" s="159" t="s">
        <v>0</v>
      </c>
    </row>
    <row r="140" spans="13:21" x14ac:dyDescent="0.25">
      <c r="M140" s="94">
        <v>46152</v>
      </c>
      <c r="N140" s="123">
        <v>1</v>
      </c>
      <c r="O140" s="158">
        <v>2612812301</v>
      </c>
      <c r="P140" s="86" t="s">
        <v>29</v>
      </c>
      <c r="Q140" s="86">
        <v>20</v>
      </c>
      <c r="R140" s="86">
        <v>800</v>
      </c>
      <c r="S140" s="86">
        <v>20000</v>
      </c>
      <c r="T140" s="124">
        <v>20804</v>
      </c>
      <c r="U140" s="159" t="s">
        <v>0</v>
      </c>
    </row>
    <row r="141" spans="13:21" x14ac:dyDescent="0.25">
      <c r="M141" s="94">
        <v>46154</v>
      </c>
      <c r="N141" s="123">
        <v>1</v>
      </c>
      <c r="O141" s="158">
        <v>2613012301</v>
      </c>
      <c r="P141" s="86" t="s">
        <v>29</v>
      </c>
      <c r="Q141" s="86">
        <v>20</v>
      </c>
      <c r="R141" s="86">
        <v>800</v>
      </c>
      <c r="S141" s="86">
        <v>20000</v>
      </c>
      <c r="T141" s="124">
        <v>20797</v>
      </c>
      <c r="U141" s="159" t="s">
        <v>0</v>
      </c>
    </row>
    <row r="142" spans="13:21" x14ac:dyDescent="0.25">
      <c r="M142" s="94">
        <v>46155</v>
      </c>
      <c r="N142" s="123">
        <v>1</v>
      </c>
      <c r="O142" s="158">
        <v>2613212301</v>
      </c>
      <c r="P142" s="86" t="s">
        <v>29</v>
      </c>
      <c r="Q142" s="86">
        <v>20</v>
      </c>
      <c r="R142" s="86">
        <v>800</v>
      </c>
      <c r="S142" s="86">
        <v>20000</v>
      </c>
      <c r="T142" s="124">
        <v>20812</v>
      </c>
      <c r="U142" s="159" t="s">
        <v>0</v>
      </c>
    </row>
    <row r="143" spans="13:21" x14ac:dyDescent="0.25">
      <c r="M143" s="94">
        <v>46156</v>
      </c>
      <c r="N143" s="123">
        <v>1</v>
      </c>
      <c r="O143" s="158">
        <v>2613312301</v>
      </c>
      <c r="P143" s="86" t="s">
        <v>29</v>
      </c>
      <c r="Q143" s="86">
        <v>20</v>
      </c>
      <c r="R143" s="86">
        <v>800</v>
      </c>
      <c r="S143" s="86">
        <v>20000</v>
      </c>
      <c r="T143" s="124">
        <v>20823</v>
      </c>
      <c r="U143" s="159" t="s">
        <v>0</v>
      </c>
    </row>
    <row r="144" spans="13:21" x14ac:dyDescent="0.25">
      <c r="M144" s="94">
        <v>46166</v>
      </c>
      <c r="N144" s="123">
        <v>1</v>
      </c>
      <c r="O144" s="86">
        <v>2613412301</v>
      </c>
      <c r="P144" s="86" t="s">
        <v>29</v>
      </c>
      <c r="Q144" s="86">
        <v>20</v>
      </c>
      <c r="R144" s="86">
        <v>800</v>
      </c>
      <c r="S144" s="86">
        <v>20000</v>
      </c>
      <c r="T144" s="124">
        <v>20791</v>
      </c>
      <c r="U144" s="159" t="s">
        <v>0</v>
      </c>
    </row>
    <row r="145" spans="13:23" x14ac:dyDescent="0.25">
      <c r="M145" s="94">
        <v>46166</v>
      </c>
      <c r="N145" s="123">
        <v>1</v>
      </c>
      <c r="O145" s="86">
        <v>2614412301</v>
      </c>
      <c r="P145" s="86" t="s">
        <v>29</v>
      </c>
      <c r="Q145" s="86">
        <v>20</v>
      </c>
      <c r="R145" s="86">
        <v>800</v>
      </c>
      <c r="S145" s="86">
        <v>20000</v>
      </c>
      <c r="T145" s="124">
        <v>20774</v>
      </c>
      <c r="U145" s="159" t="s">
        <v>0</v>
      </c>
    </row>
    <row r="146" spans="13:23" x14ac:dyDescent="0.25">
      <c r="M146" s="94">
        <v>46167</v>
      </c>
      <c r="N146" s="123">
        <v>1</v>
      </c>
      <c r="O146" s="86">
        <v>2614412302</v>
      </c>
      <c r="P146" s="86" t="s">
        <v>29</v>
      </c>
      <c r="Q146" s="86">
        <v>20</v>
      </c>
      <c r="R146" s="86">
        <v>800</v>
      </c>
      <c r="S146" s="86">
        <v>20000</v>
      </c>
      <c r="T146" s="124">
        <v>20790</v>
      </c>
      <c r="U146" s="159" t="s">
        <v>0</v>
      </c>
    </row>
    <row r="147" spans="13:23" x14ac:dyDescent="0.25">
      <c r="M147" s="94">
        <v>45802</v>
      </c>
      <c r="N147" s="123">
        <v>1</v>
      </c>
      <c r="O147" s="86">
        <v>2614512301</v>
      </c>
      <c r="P147" s="86" t="s">
        <v>29</v>
      </c>
      <c r="Q147" s="86">
        <v>5</v>
      </c>
      <c r="R147" s="86">
        <v>200</v>
      </c>
      <c r="S147" s="86">
        <v>5000</v>
      </c>
      <c r="T147" s="124">
        <v>5250</v>
      </c>
      <c r="U147" s="159" t="s">
        <v>0</v>
      </c>
    </row>
    <row r="148" spans="13:23" x14ac:dyDescent="0.25">
      <c r="M148" s="94">
        <v>46169</v>
      </c>
      <c r="N148" s="123">
        <v>1</v>
      </c>
      <c r="O148" s="86">
        <v>2614512302</v>
      </c>
      <c r="P148" s="86" t="s">
        <v>29</v>
      </c>
      <c r="Q148" s="86">
        <v>20</v>
      </c>
      <c r="R148" s="86">
        <v>800</v>
      </c>
      <c r="S148" s="86">
        <v>20000</v>
      </c>
      <c r="T148" s="124">
        <v>20740</v>
      </c>
      <c r="U148" s="159" t="s">
        <v>0</v>
      </c>
    </row>
    <row r="149" spans="13:23" x14ac:dyDescent="0.25">
      <c r="M149" s="94">
        <v>46170</v>
      </c>
      <c r="N149" s="123">
        <v>1</v>
      </c>
      <c r="O149" s="86">
        <v>2614712301</v>
      </c>
      <c r="P149" s="86" t="s">
        <v>29</v>
      </c>
      <c r="Q149" s="86">
        <v>20</v>
      </c>
      <c r="R149" s="86">
        <v>800</v>
      </c>
      <c r="S149" s="86">
        <v>20000</v>
      </c>
      <c r="T149" s="124">
        <v>20772</v>
      </c>
      <c r="U149" s="159" t="s">
        <v>0</v>
      </c>
      <c r="W149" t="s">
        <v>138</v>
      </c>
    </row>
    <row r="150" spans="13:23" x14ac:dyDescent="0.25">
      <c r="M150" s="94">
        <v>46171</v>
      </c>
      <c r="N150" s="123">
        <v>1</v>
      </c>
      <c r="O150" s="86">
        <v>2614812301</v>
      </c>
      <c r="P150" s="86" t="s">
        <v>29</v>
      </c>
      <c r="Q150" s="86">
        <v>20</v>
      </c>
      <c r="R150" s="86">
        <v>800</v>
      </c>
      <c r="S150" s="86">
        <v>20000</v>
      </c>
      <c r="T150" s="124">
        <v>20774</v>
      </c>
      <c r="U150" s="159" t="s">
        <v>0</v>
      </c>
    </row>
    <row r="151" spans="13:23" x14ac:dyDescent="0.25">
      <c r="M151" s="94">
        <v>46172</v>
      </c>
      <c r="N151" s="123">
        <v>1</v>
      </c>
      <c r="O151" s="86">
        <v>2614912301</v>
      </c>
      <c r="P151" s="86" t="s">
        <v>29</v>
      </c>
      <c r="Q151" s="86">
        <v>20</v>
      </c>
      <c r="R151" s="86">
        <v>800</v>
      </c>
      <c r="S151" s="86">
        <v>20000</v>
      </c>
      <c r="T151" s="124">
        <v>20795</v>
      </c>
      <c r="U151" s="159" t="s">
        <v>0</v>
      </c>
    </row>
    <row r="152" spans="13:23" x14ac:dyDescent="0.25">
      <c r="M152" s="182">
        <v>46174</v>
      </c>
      <c r="N152" s="123">
        <v>1</v>
      </c>
      <c r="O152" s="86">
        <v>2615012301</v>
      </c>
      <c r="P152" s="86" t="s">
        <v>29</v>
      </c>
      <c r="Q152" s="86">
        <v>20</v>
      </c>
      <c r="R152" s="86">
        <v>800</v>
      </c>
      <c r="S152" s="86">
        <v>20000</v>
      </c>
      <c r="T152" s="124">
        <v>20776</v>
      </c>
      <c r="U152" s="159" t="s">
        <v>0</v>
      </c>
    </row>
    <row r="153" spans="13:23" x14ac:dyDescent="0.25">
      <c r="M153" s="94">
        <v>46175</v>
      </c>
      <c r="N153" s="123">
        <v>1</v>
      </c>
      <c r="O153" s="86">
        <v>2615212301</v>
      </c>
      <c r="P153" s="86" t="s">
        <v>29</v>
      </c>
      <c r="Q153" s="86">
        <v>20</v>
      </c>
      <c r="R153" s="86">
        <v>800</v>
      </c>
      <c r="S153" s="86">
        <v>20000</v>
      </c>
      <c r="T153" s="124">
        <v>20714</v>
      </c>
      <c r="U153" s="159" t="s">
        <v>0</v>
      </c>
    </row>
    <row r="154" spans="13:23" x14ac:dyDescent="0.25">
      <c r="M154" s="94">
        <v>46178</v>
      </c>
      <c r="N154" s="123">
        <v>1</v>
      </c>
      <c r="O154" s="86">
        <v>2615312301</v>
      </c>
      <c r="P154" s="86" t="s">
        <v>29</v>
      </c>
      <c r="Q154" s="86">
        <v>20</v>
      </c>
      <c r="R154" s="86">
        <v>800</v>
      </c>
      <c r="S154" s="86">
        <v>20000</v>
      </c>
      <c r="T154" s="124">
        <v>20784</v>
      </c>
      <c r="U154" s="159" t="s">
        <v>0</v>
      </c>
    </row>
    <row r="155" spans="13:23" x14ac:dyDescent="0.25">
      <c r="M155" s="94">
        <v>46180</v>
      </c>
      <c r="N155" s="123">
        <v>1</v>
      </c>
      <c r="O155" s="86">
        <v>2615612301</v>
      </c>
      <c r="P155" s="86" t="s">
        <v>29</v>
      </c>
      <c r="Q155" s="86">
        <v>20</v>
      </c>
      <c r="R155" s="86">
        <v>800</v>
      </c>
      <c r="S155" s="86">
        <v>20000</v>
      </c>
      <c r="T155" s="124">
        <v>20828</v>
      </c>
      <c r="U155" s="159" t="s">
        <v>0</v>
      </c>
    </row>
    <row r="156" spans="13:23" x14ac:dyDescent="0.25">
      <c r="M156" s="94">
        <v>46187</v>
      </c>
      <c r="N156" s="123">
        <v>1</v>
      </c>
      <c r="O156" s="86">
        <v>2615812301</v>
      </c>
      <c r="P156" s="86" t="s">
        <v>29</v>
      </c>
      <c r="Q156" s="86">
        <v>20</v>
      </c>
      <c r="R156" s="86">
        <v>800</v>
      </c>
      <c r="S156" s="86">
        <v>20000</v>
      </c>
      <c r="T156" s="124">
        <v>20728</v>
      </c>
      <c r="U156" s="159" t="s">
        <v>0</v>
      </c>
    </row>
    <row r="157" spans="13:23" x14ac:dyDescent="0.25">
      <c r="M157" s="94">
        <v>46190</v>
      </c>
      <c r="N157" s="123">
        <v>1</v>
      </c>
      <c r="O157" s="86">
        <v>2616512301</v>
      </c>
      <c r="P157" s="86" t="s">
        <v>29</v>
      </c>
      <c r="Q157" s="86">
        <v>20</v>
      </c>
      <c r="R157" s="86">
        <v>800</v>
      </c>
      <c r="S157" s="86">
        <v>20000</v>
      </c>
      <c r="T157" s="124">
        <v>20768</v>
      </c>
      <c r="U157" s="159" t="s">
        <v>0</v>
      </c>
    </row>
    <row r="158" spans="13:23" x14ac:dyDescent="0.25">
      <c r="M158" s="94">
        <v>46194</v>
      </c>
      <c r="N158" s="123">
        <v>1</v>
      </c>
      <c r="O158" s="86">
        <v>2616812301</v>
      </c>
      <c r="P158" s="86" t="s">
        <v>29</v>
      </c>
      <c r="Q158" s="86">
        <v>18</v>
      </c>
      <c r="R158" s="86">
        <v>720</v>
      </c>
      <c r="S158" s="86">
        <v>18000</v>
      </c>
      <c r="T158" s="124">
        <v>18746</v>
      </c>
      <c r="U158" s="159" t="s">
        <v>0</v>
      </c>
    </row>
    <row r="159" spans="13:23" x14ac:dyDescent="0.25">
      <c r="M159" s="94">
        <v>46200</v>
      </c>
      <c r="N159" s="123">
        <v>1</v>
      </c>
      <c r="O159" s="86">
        <v>2617512301</v>
      </c>
      <c r="P159" s="86" t="s">
        <v>29</v>
      </c>
      <c r="Q159" s="86">
        <v>20</v>
      </c>
      <c r="R159" s="86">
        <v>800</v>
      </c>
      <c r="S159" s="86">
        <v>20000</v>
      </c>
      <c r="T159" s="124">
        <v>20813</v>
      </c>
      <c r="U159" s="159" t="s">
        <v>0</v>
      </c>
    </row>
    <row r="160" spans="13:23" x14ac:dyDescent="0.25">
      <c r="M160" s="94">
        <v>46200</v>
      </c>
      <c r="N160" s="123">
        <v>1</v>
      </c>
      <c r="O160" s="86">
        <v>2617812301</v>
      </c>
      <c r="P160" s="86" t="s">
        <v>29</v>
      </c>
      <c r="Q160" s="86">
        <v>20</v>
      </c>
      <c r="R160" s="86">
        <v>800</v>
      </c>
      <c r="S160" s="86">
        <v>20000</v>
      </c>
      <c r="T160" s="124">
        <v>20790</v>
      </c>
      <c r="U160" s="159" t="s">
        <v>0</v>
      </c>
    </row>
    <row r="161" spans="13:22" x14ac:dyDescent="0.25">
      <c r="M161" s="94">
        <v>46204</v>
      </c>
      <c r="N161" s="123">
        <v>1</v>
      </c>
      <c r="O161" s="86">
        <v>2618212301</v>
      </c>
      <c r="P161" s="86" t="s">
        <v>29</v>
      </c>
      <c r="Q161" s="86">
        <v>20</v>
      </c>
      <c r="R161" s="86">
        <v>800</v>
      </c>
      <c r="S161" s="86">
        <v>20000</v>
      </c>
      <c r="T161" s="124">
        <v>20797</v>
      </c>
      <c r="U161" s="159" t="s">
        <v>0</v>
      </c>
    </row>
    <row r="162" spans="13:22" x14ac:dyDescent="0.25">
      <c r="M162" s="94">
        <v>46222</v>
      </c>
      <c r="N162" s="123">
        <v>1</v>
      </c>
      <c r="O162" s="86">
        <v>2619912301</v>
      </c>
      <c r="P162" s="86" t="s">
        <v>29</v>
      </c>
      <c r="Q162" s="86">
        <v>20</v>
      </c>
      <c r="R162" s="86">
        <v>800</v>
      </c>
      <c r="S162" s="86">
        <v>20000</v>
      </c>
      <c r="T162" s="124"/>
      <c r="U162" s="159" t="s">
        <v>0</v>
      </c>
    </row>
    <row r="163" spans="13:22" x14ac:dyDescent="0.25">
      <c r="M163" s="94">
        <v>46223</v>
      </c>
      <c r="N163" s="123">
        <v>1</v>
      </c>
      <c r="O163" s="86">
        <v>2620112301</v>
      </c>
      <c r="P163" s="86" t="s">
        <v>29</v>
      </c>
      <c r="Q163" s="86">
        <v>20</v>
      </c>
      <c r="R163" s="86">
        <v>800</v>
      </c>
      <c r="S163" s="86">
        <v>20000</v>
      </c>
      <c r="T163" s="124"/>
      <c r="U163" s="159" t="s">
        <v>0</v>
      </c>
    </row>
    <row r="164" spans="13:22" x14ac:dyDescent="0.25">
      <c r="M164" s="94">
        <v>46226</v>
      </c>
      <c r="N164" s="123">
        <v>1</v>
      </c>
      <c r="O164" s="86">
        <v>2620412301</v>
      </c>
      <c r="P164" s="86" t="s">
        <v>29</v>
      </c>
      <c r="Q164" s="86">
        <v>20</v>
      </c>
      <c r="R164" s="86">
        <v>800</v>
      </c>
      <c r="S164" s="86">
        <v>20000</v>
      </c>
      <c r="T164" s="124">
        <v>20790</v>
      </c>
      <c r="U164" s="159" t="s">
        <v>0</v>
      </c>
      <c r="V164" s="178"/>
    </row>
    <row r="165" spans="13:22" x14ac:dyDescent="0.25">
      <c r="M165" s="94"/>
      <c r="N165" s="123">
        <v>1</v>
      </c>
      <c r="O165" s="86">
        <v>2620412302</v>
      </c>
      <c r="P165" s="86" t="s">
        <v>29</v>
      </c>
      <c r="Q165" s="86">
        <v>20</v>
      </c>
      <c r="R165" s="86">
        <v>800</v>
      </c>
      <c r="S165" s="86">
        <v>20000</v>
      </c>
      <c r="T165" s="124"/>
      <c r="U165" s="208" t="s">
        <v>1</v>
      </c>
    </row>
    <row r="166" spans="13:22" x14ac:dyDescent="0.25">
      <c r="M166" s="94">
        <v>46250</v>
      </c>
      <c r="N166" s="123">
        <v>1</v>
      </c>
      <c r="O166" s="86">
        <v>2620812301</v>
      </c>
      <c r="P166" s="86" t="s">
        <v>29</v>
      </c>
      <c r="Q166" s="86">
        <v>20</v>
      </c>
      <c r="R166" s="86">
        <v>800</v>
      </c>
      <c r="S166" s="86">
        <v>20000</v>
      </c>
      <c r="T166" s="124">
        <v>20723</v>
      </c>
      <c r="U166" s="208" t="s">
        <v>1</v>
      </c>
    </row>
    <row r="167" spans="13:22" x14ac:dyDescent="0.25">
      <c r="M167" s="94">
        <v>46251</v>
      </c>
      <c r="N167" s="123">
        <v>1</v>
      </c>
      <c r="O167" s="86">
        <v>2622812301</v>
      </c>
      <c r="P167" s="86" t="s">
        <v>29</v>
      </c>
      <c r="Q167" s="86">
        <v>20</v>
      </c>
      <c r="R167" s="86">
        <v>800</v>
      </c>
      <c r="S167" s="86">
        <v>20000</v>
      </c>
      <c r="T167" s="124">
        <v>20813</v>
      </c>
      <c r="U167" s="208" t="s">
        <v>1</v>
      </c>
    </row>
    <row r="168" spans="13:22" x14ac:dyDescent="0.25">
      <c r="M168" s="94">
        <v>46252</v>
      </c>
      <c r="N168" s="123">
        <v>1</v>
      </c>
      <c r="O168" s="86">
        <v>2622912301</v>
      </c>
      <c r="P168" s="86" t="s">
        <v>29</v>
      </c>
      <c r="Q168" s="86">
        <v>20</v>
      </c>
      <c r="R168" s="86">
        <v>800</v>
      </c>
      <c r="S168" s="86">
        <v>20000</v>
      </c>
      <c r="T168" s="124">
        <v>20818</v>
      </c>
      <c r="U168" s="208" t="s">
        <v>1</v>
      </c>
    </row>
    <row r="169" spans="13:22" x14ac:dyDescent="0.25">
      <c r="M169" s="94">
        <v>46254</v>
      </c>
      <c r="N169" s="123">
        <v>1</v>
      </c>
      <c r="O169" s="86">
        <v>2623012301</v>
      </c>
      <c r="P169" s="86" t="s">
        <v>29</v>
      </c>
      <c r="Q169" s="86">
        <v>20</v>
      </c>
      <c r="R169" s="86">
        <v>800</v>
      </c>
      <c r="S169" s="86">
        <v>20000</v>
      </c>
      <c r="T169" s="124">
        <v>20744</v>
      </c>
      <c r="U169" s="208" t="s">
        <v>1</v>
      </c>
    </row>
    <row r="170" spans="13:22" x14ac:dyDescent="0.25">
      <c r="M170" s="94">
        <v>46255</v>
      </c>
      <c r="N170" s="123">
        <v>1</v>
      </c>
      <c r="O170" s="86">
        <v>2623212301</v>
      </c>
      <c r="P170" s="86" t="s">
        <v>29</v>
      </c>
      <c r="Q170" s="86">
        <v>20</v>
      </c>
      <c r="R170" s="86">
        <v>800</v>
      </c>
      <c r="S170" s="86">
        <v>20000</v>
      </c>
      <c r="T170" s="124">
        <v>20796</v>
      </c>
      <c r="U170" s="208" t="s">
        <v>1</v>
      </c>
    </row>
    <row r="171" spans="13:22" x14ac:dyDescent="0.25">
      <c r="M171" s="94">
        <v>46257</v>
      </c>
      <c r="N171" s="123">
        <v>1</v>
      </c>
      <c r="O171" s="86">
        <v>2623312301</v>
      </c>
      <c r="P171" s="86" t="s">
        <v>29</v>
      </c>
      <c r="Q171" s="86">
        <v>20</v>
      </c>
      <c r="R171" s="86">
        <v>800</v>
      </c>
      <c r="S171" s="86">
        <v>20000</v>
      </c>
      <c r="T171" s="124">
        <v>20807</v>
      </c>
      <c r="U171" s="208" t="s">
        <v>1</v>
      </c>
    </row>
    <row r="172" spans="13:22" x14ac:dyDescent="0.25">
      <c r="M172" s="94">
        <v>46259</v>
      </c>
      <c r="N172" s="123">
        <v>1</v>
      </c>
      <c r="O172" s="86">
        <v>2623512301</v>
      </c>
      <c r="P172" s="86" t="s">
        <v>29</v>
      </c>
      <c r="Q172" s="86">
        <v>20</v>
      </c>
      <c r="R172" s="86">
        <v>800</v>
      </c>
      <c r="S172" s="86">
        <v>20000</v>
      </c>
      <c r="T172" s="124">
        <v>20808</v>
      </c>
      <c r="U172" s="208" t="s">
        <v>1</v>
      </c>
    </row>
    <row r="173" spans="13:22" x14ac:dyDescent="0.25">
      <c r="M173" s="94">
        <v>46259</v>
      </c>
      <c r="N173" s="123">
        <v>1</v>
      </c>
      <c r="O173" s="86">
        <v>2623712301</v>
      </c>
      <c r="P173" s="86" t="s">
        <v>29</v>
      </c>
      <c r="Q173" s="86">
        <v>20</v>
      </c>
      <c r="R173" s="86">
        <v>800</v>
      </c>
      <c r="S173" s="86">
        <v>20000</v>
      </c>
      <c r="T173" s="124">
        <v>20791</v>
      </c>
      <c r="U173" s="208" t="s">
        <v>1</v>
      </c>
    </row>
    <row r="174" spans="13:22" x14ac:dyDescent="0.25">
      <c r="M174" s="94"/>
      <c r="N174" s="123"/>
      <c r="O174" s="86"/>
      <c r="P174" s="86"/>
      <c r="Q174" s="86"/>
      <c r="R174" s="86"/>
      <c r="S174" s="86"/>
      <c r="T174" s="124"/>
      <c r="U174" s="208"/>
    </row>
    <row r="175" spans="13:22" x14ac:dyDescent="0.25">
      <c r="M175" s="94"/>
      <c r="N175" s="123"/>
      <c r="O175" s="86"/>
      <c r="P175" s="86"/>
      <c r="Q175" s="86"/>
      <c r="R175" s="86"/>
      <c r="S175" s="86"/>
      <c r="T175" s="124"/>
      <c r="U175" s="208"/>
    </row>
    <row r="176" spans="13:22" x14ac:dyDescent="0.25">
      <c r="M176" s="94"/>
      <c r="N176" s="123"/>
      <c r="O176" s="86"/>
      <c r="P176" s="86"/>
      <c r="Q176" s="86"/>
      <c r="R176" s="86"/>
      <c r="S176" s="86"/>
      <c r="T176" s="124"/>
      <c r="U176" s="208"/>
    </row>
    <row r="177" spans="14:19" x14ac:dyDescent="0.25">
      <c r="N177" s="54">
        <f>SUM(N9:N173)</f>
        <v>165</v>
      </c>
      <c r="Q177" s="41">
        <f>SUM(Q9:Q173)</f>
        <v>3203</v>
      </c>
      <c r="R177" s="41">
        <f>SUM(R9:R173)</f>
        <v>128120</v>
      </c>
      <c r="S177" s="160">
        <f>SUM(S9:S173)</f>
        <v>3203000</v>
      </c>
    </row>
  </sheetData>
  <mergeCells count="4">
    <mergeCell ref="E3:G3"/>
    <mergeCell ref="M3:O3"/>
    <mergeCell ref="B7:I7"/>
    <mergeCell ref="N7:R7"/>
  </mergeCells>
  <pageMargins left="0.7" right="0.7" top="0.75" bottom="0.75" header="0.51180555555555496" footer="0.51180555555555496"/>
  <pageSetup paperSize="9" firstPageNumber="0" orientation="portrait" useFirstPageNumber="1" horizontalDpi="300" verticalDpi="300" r:id="rId1"/>
  <ignoredErrors>
    <ignoredError sqref="M3" formulaRange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Valeurs!$A$1:$A$2</xm:f>
          </x14:formula1>
          <xm:sqref>U26:U27 U29:U33 U36:U39 U48:U51 U58:U62 U71:U76 U102 U65:U66 U78:U79 U84:U89 U92:U94 U142:U161 U133:U138 U163:U164 U166:U1068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B183"/>
  </sheetPr>
  <dimension ref="A1:Y1016"/>
  <sheetViews>
    <sheetView zoomScale="82" zoomScaleNormal="82" workbookViewId="0">
      <pane ySplit="8" topLeftCell="A9" activePane="bottomLeft" state="frozen"/>
      <selection pane="bottomLeft" activeCell="N608" sqref="N608"/>
    </sheetView>
  </sheetViews>
  <sheetFormatPr baseColWidth="10" defaultColWidth="9" defaultRowHeight="15" x14ac:dyDescent="0.25"/>
  <cols>
    <col min="1" max="1" width="13.28515625" customWidth="1"/>
    <col min="2" max="2" width="8.7109375" customWidth="1"/>
    <col min="3" max="3" width="13.42578125" customWidth="1"/>
    <col min="4" max="4" width="14.42578125" customWidth="1"/>
    <col min="5" max="5" width="13.140625" customWidth="1"/>
    <col min="6" max="6" width="11" customWidth="1"/>
    <col min="7" max="7" width="12.42578125" customWidth="1"/>
    <col min="8" max="8" width="8.7109375" customWidth="1"/>
    <col min="9" max="9" width="13" customWidth="1"/>
    <col min="10" max="10" width="17.28515625" customWidth="1"/>
    <col min="11" max="11" width="13.7109375" customWidth="1"/>
    <col min="12" max="12" width="12.85546875" customWidth="1"/>
    <col min="13" max="13" width="7.5703125" customWidth="1"/>
    <col min="14" max="14" width="11.5703125" customWidth="1"/>
    <col min="15" max="15" width="15.85546875" customWidth="1"/>
    <col min="16" max="16" width="12.85546875" customWidth="1"/>
    <col min="17" max="17" width="15.42578125" customWidth="1"/>
    <col min="18" max="18" width="28.28515625" customWidth="1"/>
    <col min="19" max="19" width="22.5703125" customWidth="1"/>
    <col min="20" max="20" width="9.28515625" customWidth="1"/>
    <col min="21" max="21" width="11.140625" customWidth="1"/>
    <col min="22" max="22" width="16.85546875" customWidth="1"/>
    <col min="23" max="23" width="19.42578125" customWidth="1"/>
    <col min="24" max="24" width="18.5703125" customWidth="1"/>
    <col min="25" max="1017" width="8.7109375" customWidth="1"/>
    <col min="1018" max="1025" width="9" customWidth="1"/>
  </cols>
  <sheetData>
    <row r="1" spans="1:25" s="29" customFormat="1" ht="28.5" x14ac:dyDescent="0.25">
      <c r="C1" s="30" t="s">
        <v>40</v>
      </c>
    </row>
    <row r="2" spans="1:25" s="29" customFormat="1" x14ac:dyDescent="0.25">
      <c r="H2" s="42"/>
    </row>
    <row r="3" spans="1:25" s="29" customFormat="1" ht="46.5" x14ac:dyDescent="0.7">
      <c r="C3" s="31" t="s">
        <v>4</v>
      </c>
      <c r="D3" s="32"/>
      <c r="E3" s="242">
        <f ca="1">SUMIF(S16:S1048539,"LIBERE",Q16:Q454)</f>
        <v>529000</v>
      </c>
      <c r="F3" s="242"/>
      <c r="G3" s="33"/>
      <c r="H3" s="43"/>
      <c r="J3" s="90" t="s">
        <v>5</v>
      </c>
      <c r="K3" s="91"/>
      <c r="L3" s="245">
        <f ca="1">SUMIF(S16:S1048539,"NON LIBERE",Q16:Q454)</f>
        <v>34000</v>
      </c>
      <c r="M3" s="245"/>
      <c r="N3" s="245"/>
      <c r="P3" s="55" t="s">
        <v>6</v>
      </c>
      <c r="Q3" s="57"/>
      <c r="R3" s="57"/>
      <c r="S3" s="58">
        <f>SUM(F9:F43)</f>
        <v>0</v>
      </c>
      <c r="U3" s="219" t="s">
        <v>2</v>
      </c>
      <c r="V3" s="102"/>
      <c r="W3" s="102"/>
      <c r="X3" s="103">
        <f ca="1">SUMIF(S9:S1048539,"NON CONFORME",Q9:Q454)</f>
        <v>29000</v>
      </c>
    </row>
    <row r="4" spans="1:25" s="29" customFormat="1" ht="21" x14ac:dyDescent="0.25">
      <c r="F4" s="34" t="str">
        <f>COUNTIF(S16:S1048539,Valeurs!A1)&amp;" Big Bag"</f>
        <v>529 Big Bag</v>
      </c>
      <c r="G4" s="34"/>
      <c r="N4" s="46" t="str">
        <f>COUNTIF(S16:S1048539,Valeurs!A2)&amp;" Big Bag"</f>
        <v>34 Big Bag</v>
      </c>
      <c r="S4" s="61" t="str">
        <f>COUNT(F9:F43)&amp;" lots"</f>
        <v>0 lots</v>
      </c>
      <c r="X4" s="46" t="str">
        <f>COUNTIF(S16:S1048539,Valeurs!A3)&amp;" Big Bag"</f>
        <v>22 Big Bag</v>
      </c>
    </row>
    <row r="5" spans="1:25" s="29" customFormat="1" x14ac:dyDescent="0.25"/>
    <row r="6" spans="1:25" ht="25.35" customHeight="1" x14ac:dyDescent="0.25">
      <c r="U6" s="86"/>
    </row>
    <row r="7" spans="1:25" s="29" customFormat="1" ht="27.6" customHeight="1" x14ac:dyDescent="0.25">
      <c r="A7" s="35"/>
      <c r="B7" s="244" t="s">
        <v>41</v>
      </c>
      <c r="C7" s="244"/>
      <c r="D7" s="244"/>
      <c r="E7" s="244"/>
      <c r="F7" s="244"/>
      <c r="G7" s="244"/>
      <c r="H7" s="244"/>
      <c r="I7" s="47"/>
      <c r="J7" s="47"/>
      <c r="L7" s="35"/>
      <c r="M7" s="244" t="s">
        <v>42</v>
      </c>
      <c r="N7" s="244"/>
      <c r="O7" s="244"/>
      <c r="P7" s="244"/>
      <c r="Q7" s="65"/>
      <c r="R7" s="66"/>
      <c r="S7" s="67"/>
    </row>
    <row r="8" spans="1:25" s="29" customFormat="1" ht="30" x14ac:dyDescent="0.25">
      <c r="A8" s="36" t="s">
        <v>19</v>
      </c>
      <c r="B8" s="37" t="s">
        <v>43</v>
      </c>
      <c r="C8" s="177" t="s">
        <v>21</v>
      </c>
      <c r="D8" s="36" t="s">
        <v>22</v>
      </c>
      <c r="E8" s="37" t="s">
        <v>23</v>
      </c>
      <c r="F8" s="36" t="s">
        <v>25</v>
      </c>
      <c r="G8" s="36" t="s">
        <v>16</v>
      </c>
      <c r="H8" s="48" t="s">
        <v>26</v>
      </c>
      <c r="I8" s="36" t="s">
        <v>27</v>
      </c>
      <c r="J8" s="49" t="s">
        <v>28</v>
      </c>
      <c r="L8" s="50" t="s">
        <v>19</v>
      </c>
      <c r="M8" s="92" t="s">
        <v>44</v>
      </c>
      <c r="N8" s="92" t="s">
        <v>45</v>
      </c>
      <c r="O8" s="50" t="s">
        <v>21</v>
      </c>
      <c r="P8" s="50" t="s">
        <v>22</v>
      </c>
      <c r="Q8" s="69" t="s">
        <v>25</v>
      </c>
      <c r="R8" s="70" t="s">
        <v>16</v>
      </c>
      <c r="S8" s="71" t="s">
        <v>26</v>
      </c>
    </row>
    <row r="9" spans="1:25" x14ac:dyDescent="0.25">
      <c r="L9" s="233">
        <v>45441</v>
      </c>
      <c r="M9" s="12">
        <v>1</v>
      </c>
      <c r="N9" s="12">
        <v>12</v>
      </c>
      <c r="O9" s="93">
        <v>2429913501</v>
      </c>
      <c r="P9" s="93" t="s">
        <v>46</v>
      </c>
      <c r="Q9" s="93">
        <v>1000</v>
      </c>
      <c r="R9" s="234"/>
      <c r="S9" s="231" t="s">
        <v>2</v>
      </c>
      <c r="U9" s="88"/>
    </row>
    <row r="10" spans="1:25" x14ac:dyDescent="0.25">
      <c r="L10" s="233">
        <v>45442</v>
      </c>
      <c r="M10" s="12">
        <v>1</v>
      </c>
      <c r="N10" s="12">
        <v>13</v>
      </c>
      <c r="O10" s="93">
        <v>2429913501</v>
      </c>
      <c r="P10" s="93" t="s">
        <v>46</v>
      </c>
      <c r="Q10" s="93">
        <v>1000</v>
      </c>
      <c r="R10" s="232"/>
      <c r="S10" s="231" t="s">
        <v>2</v>
      </c>
      <c r="U10" s="88"/>
    </row>
    <row r="11" spans="1:25" ht="15.75" x14ac:dyDescent="0.25">
      <c r="L11" s="233">
        <v>45442</v>
      </c>
      <c r="M11" s="12">
        <v>1</v>
      </c>
      <c r="N11" s="12">
        <v>15</v>
      </c>
      <c r="O11" s="93">
        <v>2429913501</v>
      </c>
      <c r="P11" s="93" t="s">
        <v>46</v>
      </c>
      <c r="Q11" s="93">
        <v>1000</v>
      </c>
      <c r="R11" s="232"/>
      <c r="S11" s="231" t="s">
        <v>2</v>
      </c>
      <c r="U11" s="88"/>
      <c r="V11" s="89"/>
      <c r="W11" s="20"/>
      <c r="X11" s="20"/>
      <c r="Y11" s="20"/>
    </row>
    <row r="12" spans="1:25" ht="15.75" x14ac:dyDescent="0.25">
      <c r="L12" s="233">
        <v>45442</v>
      </c>
      <c r="M12" s="12">
        <v>1</v>
      </c>
      <c r="N12" s="12">
        <v>16</v>
      </c>
      <c r="O12" s="93">
        <v>2429913501</v>
      </c>
      <c r="P12" s="93" t="s">
        <v>46</v>
      </c>
      <c r="Q12" s="93">
        <v>1000</v>
      </c>
      <c r="R12" s="232"/>
      <c r="S12" s="231" t="s">
        <v>2</v>
      </c>
      <c r="U12" s="88"/>
      <c r="V12" s="89"/>
      <c r="W12" s="20"/>
      <c r="X12" s="20"/>
    </row>
    <row r="13" spans="1:25" ht="15.75" x14ac:dyDescent="0.25">
      <c r="L13" s="233">
        <v>45442</v>
      </c>
      <c r="M13" s="12">
        <v>1</v>
      </c>
      <c r="N13" s="12">
        <v>18</v>
      </c>
      <c r="O13" s="93">
        <v>2429913501</v>
      </c>
      <c r="P13" s="93" t="s">
        <v>46</v>
      </c>
      <c r="Q13" s="93">
        <v>1000</v>
      </c>
      <c r="R13" s="232"/>
      <c r="S13" s="231" t="s">
        <v>2</v>
      </c>
      <c r="U13" s="88"/>
      <c r="V13" s="89"/>
      <c r="W13" s="20"/>
      <c r="X13" s="20"/>
    </row>
    <row r="14" spans="1:25" ht="15.75" x14ac:dyDescent="0.25">
      <c r="L14" s="233">
        <v>45444</v>
      </c>
      <c r="M14" s="12">
        <v>1</v>
      </c>
      <c r="N14" s="12">
        <v>19</v>
      </c>
      <c r="O14" s="93">
        <v>2429913501</v>
      </c>
      <c r="P14" s="93" t="s">
        <v>46</v>
      </c>
      <c r="Q14" s="93">
        <v>1000</v>
      </c>
      <c r="R14" s="232"/>
      <c r="S14" s="231" t="s">
        <v>2</v>
      </c>
      <c r="U14" s="88"/>
      <c r="V14" s="89"/>
      <c r="W14" s="20"/>
      <c r="X14" s="20"/>
    </row>
    <row r="15" spans="1:25" ht="16.5" thickBot="1" x14ac:dyDescent="0.3">
      <c r="L15" s="230">
        <v>45444</v>
      </c>
      <c r="M15" s="229">
        <v>1</v>
      </c>
      <c r="N15" s="229">
        <v>20</v>
      </c>
      <c r="O15" s="228">
        <v>2429913501</v>
      </c>
      <c r="P15" s="228" t="s">
        <v>46</v>
      </c>
      <c r="Q15" s="228">
        <v>1000</v>
      </c>
      <c r="R15" s="227"/>
      <c r="S15" s="226" t="s">
        <v>2</v>
      </c>
      <c r="U15" s="88"/>
      <c r="V15" s="89"/>
      <c r="W15" s="20"/>
      <c r="X15" s="20"/>
    </row>
    <row r="16" spans="1:25" ht="17.25" thickTop="1" thickBot="1" x14ac:dyDescent="0.3">
      <c r="L16" s="111">
        <v>45927</v>
      </c>
      <c r="M16" s="112">
        <v>1</v>
      </c>
      <c r="N16" s="112">
        <v>20</v>
      </c>
      <c r="O16" s="113">
        <v>2526713501</v>
      </c>
      <c r="P16" s="113" t="s">
        <v>47</v>
      </c>
      <c r="Q16" s="113">
        <v>1000</v>
      </c>
      <c r="R16" s="115">
        <v>1013</v>
      </c>
      <c r="S16" s="116" t="s">
        <v>0</v>
      </c>
      <c r="U16" s="88"/>
      <c r="V16" s="89"/>
      <c r="W16" s="20"/>
      <c r="X16" s="20"/>
    </row>
    <row r="17" spans="12:24" ht="15.75" x14ac:dyDescent="0.25">
      <c r="L17" s="98">
        <v>45927</v>
      </c>
      <c r="M17" s="97">
        <v>1</v>
      </c>
      <c r="N17" s="97">
        <v>1</v>
      </c>
      <c r="O17" s="99">
        <v>2527013501</v>
      </c>
      <c r="P17" s="99" t="s">
        <v>47</v>
      </c>
      <c r="Q17" s="99">
        <v>1000</v>
      </c>
      <c r="R17" s="104">
        <v>1014</v>
      </c>
      <c r="S17" s="105" t="s">
        <v>0</v>
      </c>
      <c r="U17" s="88"/>
      <c r="V17" s="89"/>
      <c r="W17" s="20"/>
      <c r="X17" s="20"/>
    </row>
    <row r="18" spans="12:24" ht="15.75" x14ac:dyDescent="0.25">
      <c r="L18" s="94">
        <v>45927</v>
      </c>
      <c r="M18" s="86">
        <v>1</v>
      </c>
      <c r="N18" s="86">
        <v>2</v>
      </c>
      <c r="O18" s="100">
        <v>2527013501</v>
      </c>
      <c r="P18" s="100" t="s">
        <v>47</v>
      </c>
      <c r="Q18" s="100">
        <v>1000</v>
      </c>
      <c r="R18" s="106">
        <v>1015</v>
      </c>
      <c r="S18" s="72" t="s">
        <v>0</v>
      </c>
      <c r="U18" s="88"/>
      <c r="V18" s="89"/>
      <c r="W18" s="20"/>
      <c r="X18" s="20"/>
    </row>
    <row r="19" spans="12:24" ht="15.75" x14ac:dyDescent="0.25">
      <c r="L19" s="94">
        <v>45928</v>
      </c>
      <c r="M19" s="86">
        <v>1</v>
      </c>
      <c r="N19" s="86">
        <v>4</v>
      </c>
      <c r="O19" s="100">
        <v>2527013501</v>
      </c>
      <c r="P19" s="100" t="s">
        <v>47</v>
      </c>
      <c r="Q19" s="100">
        <v>1000</v>
      </c>
      <c r="R19" s="106">
        <v>1021</v>
      </c>
      <c r="S19" s="72" t="s">
        <v>0</v>
      </c>
      <c r="U19" s="88"/>
      <c r="V19" s="89"/>
      <c r="W19" s="20"/>
      <c r="X19" s="20"/>
    </row>
    <row r="20" spans="12:24" ht="15.75" x14ac:dyDescent="0.25">
      <c r="L20" s="94">
        <v>45928</v>
      </c>
      <c r="M20" s="86">
        <v>1</v>
      </c>
      <c r="N20" s="86">
        <v>5</v>
      </c>
      <c r="O20" s="100">
        <v>2527013501</v>
      </c>
      <c r="P20" s="100" t="s">
        <v>48</v>
      </c>
      <c r="Q20" s="100">
        <v>1000</v>
      </c>
      <c r="R20" s="106">
        <v>1024</v>
      </c>
      <c r="S20" s="72" t="s">
        <v>0</v>
      </c>
      <c r="U20" s="88"/>
      <c r="V20" s="89"/>
      <c r="W20" s="20"/>
      <c r="X20" s="20"/>
    </row>
    <row r="21" spans="12:24" ht="15.75" x14ac:dyDescent="0.25">
      <c r="L21" s="94">
        <v>45928</v>
      </c>
      <c r="M21" s="86">
        <v>1</v>
      </c>
      <c r="N21" s="86">
        <v>6</v>
      </c>
      <c r="O21" s="100">
        <v>2527013501</v>
      </c>
      <c r="P21" s="100" t="s">
        <v>47</v>
      </c>
      <c r="Q21" s="100">
        <v>1000</v>
      </c>
      <c r="R21" s="106">
        <v>1014</v>
      </c>
      <c r="S21" s="72" t="s">
        <v>0</v>
      </c>
      <c r="U21" s="88"/>
      <c r="V21" s="89"/>
      <c r="W21" s="20"/>
      <c r="X21" s="20"/>
    </row>
    <row r="22" spans="12:24" ht="15.75" x14ac:dyDescent="0.25">
      <c r="L22" s="94">
        <v>45929</v>
      </c>
      <c r="M22" s="86">
        <v>1</v>
      </c>
      <c r="N22" s="86">
        <v>8</v>
      </c>
      <c r="O22" s="114">
        <v>2527013501</v>
      </c>
      <c r="P22" s="100" t="s">
        <v>47</v>
      </c>
      <c r="Q22" s="100">
        <v>1000</v>
      </c>
      <c r="R22" s="106">
        <v>1012</v>
      </c>
      <c r="S22" s="72" t="s">
        <v>0</v>
      </c>
      <c r="U22" s="88"/>
      <c r="V22" s="89"/>
      <c r="W22" s="20"/>
      <c r="X22" s="20"/>
    </row>
    <row r="23" spans="12:24" ht="15.75" x14ac:dyDescent="0.25">
      <c r="L23" s="94">
        <v>45929</v>
      </c>
      <c r="M23" s="86">
        <v>1</v>
      </c>
      <c r="N23" s="86">
        <v>9</v>
      </c>
      <c r="O23" s="100">
        <v>2527013501</v>
      </c>
      <c r="P23" s="100" t="s">
        <v>47</v>
      </c>
      <c r="Q23" s="100">
        <v>1000</v>
      </c>
      <c r="R23" s="106">
        <v>1016</v>
      </c>
      <c r="S23" s="72" t="s">
        <v>0</v>
      </c>
      <c r="U23" s="88"/>
      <c r="V23" s="89"/>
      <c r="W23" s="20"/>
      <c r="X23" s="20"/>
    </row>
    <row r="24" spans="12:24" ht="15.75" x14ac:dyDescent="0.25">
      <c r="L24" s="94">
        <v>45929</v>
      </c>
      <c r="M24" s="86">
        <v>1</v>
      </c>
      <c r="N24" s="86">
        <v>10</v>
      </c>
      <c r="O24" s="100">
        <v>2527013501</v>
      </c>
      <c r="P24" s="100" t="s">
        <v>47</v>
      </c>
      <c r="Q24" s="100">
        <v>1000</v>
      </c>
      <c r="R24" s="106">
        <v>1005</v>
      </c>
      <c r="S24" s="72" t="s">
        <v>0</v>
      </c>
      <c r="U24" s="88"/>
      <c r="V24" s="89"/>
      <c r="W24" s="20"/>
      <c r="X24" s="20"/>
    </row>
    <row r="25" spans="12:24" ht="15.75" x14ac:dyDescent="0.25">
      <c r="L25" s="94">
        <v>45929</v>
      </c>
      <c r="M25" s="86">
        <v>1</v>
      </c>
      <c r="N25" s="86">
        <v>11</v>
      </c>
      <c r="O25" s="100">
        <v>2527013501</v>
      </c>
      <c r="P25" s="100" t="s">
        <v>47</v>
      </c>
      <c r="Q25" s="100">
        <v>1000</v>
      </c>
      <c r="R25" s="106">
        <v>1017</v>
      </c>
      <c r="S25" s="72" t="s">
        <v>0</v>
      </c>
      <c r="U25" s="88"/>
      <c r="V25" s="89"/>
      <c r="W25" s="20"/>
      <c r="X25" s="20"/>
    </row>
    <row r="26" spans="12:24" ht="15.75" x14ac:dyDescent="0.25">
      <c r="L26" s="94">
        <v>45929</v>
      </c>
      <c r="M26" s="86">
        <v>1</v>
      </c>
      <c r="N26" s="86">
        <v>12</v>
      </c>
      <c r="O26" s="100">
        <v>2527013501</v>
      </c>
      <c r="P26" s="100" t="s">
        <v>47</v>
      </c>
      <c r="Q26" s="100">
        <v>1000</v>
      </c>
      <c r="R26" s="106">
        <v>1016</v>
      </c>
      <c r="S26" s="72" t="s">
        <v>0</v>
      </c>
      <c r="U26" s="88"/>
      <c r="V26" s="89"/>
      <c r="W26" s="20"/>
      <c r="X26" s="20"/>
    </row>
    <row r="27" spans="12:24" ht="15.75" x14ac:dyDescent="0.25">
      <c r="L27" s="94">
        <v>45929</v>
      </c>
      <c r="M27" s="86">
        <v>1</v>
      </c>
      <c r="N27" s="86">
        <v>13</v>
      </c>
      <c r="O27" s="100">
        <v>2527013501</v>
      </c>
      <c r="P27" s="100" t="s">
        <v>47</v>
      </c>
      <c r="Q27" s="100">
        <v>1000</v>
      </c>
      <c r="R27" s="106">
        <v>1015</v>
      </c>
      <c r="S27" s="72" t="s">
        <v>0</v>
      </c>
      <c r="U27" s="88"/>
      <c r="V27" s="89"/>
      <c r="W27" s="20"/>
      <c r="X27" s="20"/>
    </row>
    <row r="28" spans="12:24" ht="15.75" x14ac:dyDescent="0.25">
      <c r="L28" s="94">
        <v>45929</v>
      </c>
      <c r="M28" s="86">
        <v>1</v>
      </c>
      <c r="N28" s="86">
        <v>14</v>
      </c>
      <c r="O28" s="100">
        <v>2527013501</v>
      </c>
      <c r="P28" s="100" t="s">
        <v>47</v>
      </c>
      <c r="Q28" s="100">
        <v>1000</v>
      </c>
      <c r="R28" s="106">
        <v>1026</v>
      </c>
      <c r="S28" s="72" t="s">
        <v>0</v>
      </c>
      <c r="U28" s="88"/>
      <c r="V28" s="89"/>
      <c r="W28" s="20"/>
      <c r="X28" s="20"/>
    </row>
    <row r="29" spans="12:24" ht="15.75" x14ac:dyDescent="0.25">
      <c r="L29" s="94">
        <v>45930</v>
      </c>
      <c r="M29" s="86">
        <v>1</v>
      </c>
      <c r="N29" s="86">
        <v>15</v>
      </c>
      <c r="O29" s="100">
        <v>2527013501</v>
      </c>
      <c r="P29" s="100" t="s">
        <v>47</v>
      </c>
      <c r="Q29" s="100">
        <v>1000</v>
      </c>
      <c r="R29" s="106">
        <v>1025</v>
      </c>
      <c r="S29" s="72" t="s">
        <v>0</v>
      </c>
      <c r="U29" s="88"/>
      <c r="V29" s="89"/>
      <c r="W29" s="20"/>
      <c r="X29" s="20"/>
    </row>
    <row r="30" spans="12:24" ht="15.75" x14ac:dyDescent="0.25">
      <c r="L30" s="94">
        <v>45930</v>
      </c>
      <c r="M30" s="86">
        <v>1</v>
      </c>
      <c r="N30" s="86">
        <v>16</v>
      </c>
      <c r="O30" s="100">
        <v>2527013501</v>
      </c>
      <c r="P30" s="100" t="s">
        <v>47</v>
      </c>
      <c r="Q30" s="100">
        <v>1000</v>
      </c>
      <c r="R30" s="106">
        <v>1012</v>
      </c>
      <c r="S30" s="72" t="s">
        <v>0</v>
      </c>
      <c r="U30" s="88"/>
      <c r="V30" s="89"/>
      <c r="W30" s="20"/>
      <c r="X30" s="20"/>
    </row>
    <row r="31" spans="12:24" x14ac:dyDescent="0.25">
      <c r="L31" s="94">
        <v>45930</v>
      </c>
      <c r="M31" s="86">
        <v>1</v>
      </c>
      <c r="N31" s="86">
        <v>17</v>
      </c>
      <c r="O31" s="100">
        <v>2527013501</v>
      </c>
      <c r="P31" s="100" t="s">
        <v>47</v>
      </c>
      <c r="Q31" s="100">
        <v>1000</v>
      </c>
      <c r="R31" s="106">
        <v>1016</v>
      </c>
      <c r="S31" s="72" t="s">
        <v>0</v>
      </c>
    </row>
    <row r="32" spans="12:24" x14ac:dyDescent="0.25">
      <c r="L32" s="94">
        <v>45930</v>
      </c>
      <c r="M32" s="86">
        <v>1</v>
      </c>
      <c r="N32" s="86">
        <v>18</v>
      </c>
      <c r="O32" s="100">
        <v>2527013501</v>
      </c>
      <c r="P32" s="100" t="s">
        <v>47</v>
      </c>
      <c r="Q32" s="100">
        <v>1000</v>
      </c>
      <c r="R32" s="106">
        <v>1012</v>
      </c>
      <c r="S32" s="72" t="s">
        <v>0</v>
      </c>
    </row>
    <row r="33" spans="2:19" x14ac:dyDescent="0.25">
      <c r="L33" s="94">
        <v>45930</v>
      </c>
      <c r="M33" s="86">
        <v>1</v>
      </c>
      <c r="N33" s="86">
        <v>19</v>
      </c>
      <c r="O33" s="100">
        <v>2527013501</v>
      </c>
      <c r="P33" s="100" t="s">
        <v>47</v>
      </c>
      <c r="Q33" s="100">
        <v>1000</v>
      </c>
      <c r="R33" s="106">
        <v>1015</v>
      </c>
      <c r="S33" s="72" t="s">
        <v>0</v>
      </c>
    </row>
    <row r="34" spans="2:19" ht="15.75" thickBot="1" x14ac:dyDescent="0.3">
      <c r="L34" s="95">
        <v>45930</v>
      </c>
      <c r="M34" s="96">
        <v>1</v>
      </c>
      <c r="N34" s="96">
        <v>20</v>
      </c>
      <c r="O34" s="101">
        <v>2527013501</v>
      </c>
      <c r="P34" s="101" t="s">
        <v>47</v>
      </c>
      <c r="Q34" s="101">
        <v>1000</v>
      </c>
      <c r="R34" s="107">
        <v>1017</v>
      </c>
      <c r="S34" s="108" t="s">
        <v>0</v>
      </c>
    </row>
    <row r="35" spans="2:19" ht="15.75" thickTop="1" x14ac:dyDescent="0.25">
      <c r="L35" s="94">
        <v>45931</v>
      </c>
      <c r="M35" s="86">
        <v>1</v>
      </c>
      <c r="N35" s="86">
        <v>2</v>
      </c>
      <c r="O35" s="100">
        <v>2527413501</v>
      </c>
      <c r="P35" s="100" t="s">
        <v>47</v>
      </c>
      <c r="Q35" s="100">
        <v>1000</v>
      </c>
      <c r="R35" s="106">
        <v>1018</v>
      </c>
      <c r="S35" s="72" t="s">
        <v>0</v>
      </c>
    </row>
    <row r="36" spans="2:19" x14ac:dyDescent="0.25">
      <c r="L36" s="94">
        <v>45931</v>
      </c>
      <c r="M36" s="86">
        <v>1</v>
      </c>
      <c r="N36" s="86">
        <v>3</v>
      </c>
      <c r="O36" s="100">
        <v>2527413501</v>
      </c>
      <c r="P36" s="100" t="s">
        <v>47</v>
      </c>
      <c r="Q36" s="100">
        <v>1000</v>
      </c>
      <c r="R36" s="106">
        <v>1017</v>
      </c>
      <c r="S36" s="72" t="s">
        <v>0</v>
      </c>
    </row>
    <row r="37" spans="2:19" x14ac:dyDescent="0.25">
      <c r="L37" s="94">
        <v>45931</v>
      </c>
      <c r="M37" s="86">
        <v>1</v>
      </c>
      <c r="N37" s="86">
        <v>4</v>
      </c>
      <c r="O37" s="100">
        <v>2527413501</v>
      </c>
      <c r="P37" s="100" t="s">
        <v>47</v>
      </c>
      <c r="Q37" s="100">
        <v>1000</v>
      </c>
      <c r="R37" s="106">
        <v>1026</v>
      </c>
      <c r="S37" s="72" t="s">
        <v>0</v>
      </c>
    </row>
    <row r="38" spans="2:19" x14ac:dyDescent="0.25">
      <c r="L38" s="94">
        <v>45931</v>
      </c>
      <c r="M38" s="86">
        <v>1</v>
      </c>
      <c r="N38" s="86">
        <v>5</v>
      </c>
      <c r="O38" s="100">
        <v>2527413501</v>
      </c>
      <c r="P38" s="100" t="s">
        <v>47</v>
      </c>
      <c r="Q38" s="100">
        <v>1000</v>
      </c>
      <c r="R38" s="106">
        <v>1017</v>
      </c>
      <c r="S38" s="72" t="s">
        <v>0</v>
      </c>
    </row>
    <row r="39" spans="2:19" x14ac:dyDescent="0.25">
      <c r="L39" s="94">
        <v>45932</v>
      </c>
      <c r="M39">
        <v>1</v>
      </c>
      <c r="N39" s="86">
        <v>6</v>
      </c>
      <c r="O39" s="100">
        <v>2527413501</v>
      </c>
      <c r="P39" s="100" t="s">
        <v>47</v>
      </c>
      <c r="Q39" s="100">
        <v>1000</v>
      </c>
      <c r="R39" s="106">
        <v>1019</v>
      </c>
      <c r="S39" s="72" t="s">
        <v>0</v>
      </c>
    </row>
    <row r="40" spans="2:19" x14ac:dyDescent="0.25">
      <c r="L40" s="94">
        <v>45932</v>
      </c>
      <c r="M40" s="86">
        <v>1</v>
      </c>
      <c r="N40" s="86">
        <v>7</v>
      </c>
      <c r="O40" s="100">
        <v>2527413501</v>
      </c>
      <c r="P40" s="100" t="s">
        <v>47</v>
      </c>
      <c r="Q40" s="100">
        <v>1000</v>
      </c>
      <c r="R40" s="106">
        <v>1019</v>
      </c>
      <c r="S40" s="72" t="s">
        <v>0</v>
      </c>
    </row>
    <row r="41" spans="2:19" x14ac:dyDescent="0.25">
      <c r="L41" s="94">
        <v>45932</v>
      </c>
      <c r="M41" s="86">
        <v>1</v>
      </c>
      <c r="N41" s="86">
        <v>8</v>
      </c>
      <c r="O41" s="100">
        <v>2527413501</v>
      </c>
      <c r="P41" s="100" t="s">
        <v>47</v>
      </c>
      <c r="Q41" s="100">
        <v>1000</v>
      </c>
      <c r="R41" s="106">
        <v>1016</v>
      </c>
      <c r="S41" s="72" t="s">
        <v>0</v>
      </c>
    </row>
    <row r="42" spans="2:19" x14ac:dyDescent="0.25">
      <c r="L42" s="94">
        <v>45932</v>
      </c>
      <c r="M42">
        <v>1</v>
      </c>
      <c r="N42">
        <v>9</v>
      </c>
      <c r="O42" s="100">
        <v>2527413501</v>
      </c>
      <c r="P42" s="100" t="s">
        <v>47</v>
      </c>
      <c r="Q42" s="100">
        <v>1000</v>
      </c>
      <c r="R42" s="106">
        <v>1010</v>
      </c>
      <c r="S42" s="72" t="s">
        <v>0</v>
      </c>
    </row>
    <row r="43" spans="2:19" x14ac:dyDescent="0.25">
      <c r="L43" s="94">
        <v>45933</v>
      </c>
      <c r="M43" s="86">
        <v>1</v>
      </c>
      <c r="N43" s="86">
        <v>10</v>
      </c>
      <c r="O43" s="100">
        <v>2527413501</v>
      </c>
      <c r="P43" s="100" t="s">
        <v>47</v>
      </c>
      <c r="Q43" s="100">
        <v>1000</v>
      </c>
      <c r="R43" s="106">
        <v>1013</v>
      </c>
      <c r="S43" s="72" t="s">
        <v>0</v>
      </c>
    </row>
    <row r="44" spans="2:19" x14ac:dyDescent="0.25">
      <c r="L44" s="94">
        <v>45933</v>
      </c>
      <c r="M44" s="86">
        <v>1</v>
      </c>
      <c r="N44" s="86">
        <v>11</v>
      </c>
      <c r="O44" s="100">
        <v>2527413501</v>
      </c>
      <c r="P44" s="100" t="s">
        <v>47</v>
      </c>
      <c r="Q44" s="100">
        <v>1000</v>
      </c>
      <c r="R44" s="106">
        <v>1013</v>
      </c>
      <c r="S44" s="72" t="s">
        <v>0</v>
      </c>
    </row>
    <row r="45" spans="2:19" x14ac:dyDescent="0.25">
      <c r="B45" s="41">
        <f>SUM(B9:B43)</f>
        <v>0</v>
      </c>
      <c r="E45" s="41">
        <f>SUM(E9:E43)</f>
        <v>0</v>
      </c>
      <c r="F45" s="41">
        <f>SUM(F9:F43)</f>
        <v>0</v>
      </c>
      <c r="G45" s="41">
        <f>SUM(E45:F45)</f>
        <v>0</v>
      </c>
      <c r="L45" s="94">
        <v>45938</v>
      </c>
      <c r="M45" s="86">
        <v>1</v>
      </c>
      <c r="N45" s="86">
        <v>12</v>
      </c>
      <c r="O45" s="100">
        <v>2527413501</v>
      </c>
      <c r="P45" s="100" t="s">
        <v>47</v>
      </c>
      <c r="Q45" s="100">
        <v>1000</v>
      </c>
      <c r="R45" s="106">
        <v>1013</v>
      </c>
      <c r="S45" s="72" t="s">
        <v>0</v>
      </c>
    </row>
    <row r="46" spans="2:19" x14ac:dyDescent="0.25">
      <c r="L46" s="94">
        <v>45938</v>
      </c>
      <c r="M46" s="86">
        <v>1</v>
      </c>
      <c r="N46" s="86">
        <v>13</v>
      </c>
      <c r="O46" s="100">
        <v>2527413501</v>
      </c>
      <c r="P46" s="100" t="s">
        <v>47</v>
      </c>
      <c r="Q46" s="100">
        <v>1000</v>
      </c>
      <c r="R46" s="106">
        <v>1013</v>
      </c>
      <c r="S46" s="72" t="s">
        <v>0</v>
      </c>
    </row>
    <row r="47" spans="2:19" x14ac:dyDescent="0.25">
      <c r="L47" s="94">
        <v>45938</v>
      </c>
      <c r="M47" s="86">
        <v>1</v>
      </c>
      <c r="N47" s="86">
        <v>14</v>
      </c>
      <c r="O47" s="100">
        <v>2527413501</v>
      </c>
      <c r="P47" s="100" t="s">
        <v>47</v>
      </c>
      <c r="Q47" s="100">
        <v>1000</v>
      </c>
      <c r="R47" s="106">
        <v>1013</v>
      </c>
      <c r="S47" s="72" t="s">
        <v>0</v>
      </c>
    </row>
    <row r="48" spans="2:19" x14ac:dyDescent="0.25">
      <c r="L48" s="94">
        <v>45938</v>
      </c>
      <c r="M48" s="86">
        <v>1</v>
      </c>
      <c r="N48" s="86">
        <v>15</v>
      </c>
      <c r="O48" s="100">
        <v>2527413501</v>
      </c>
      <c r="P48" s="100" t="s">
        <v>47</v>
      </c>
      <c r="Q48" s="100">
        <v>1000</v>
      </c>
      <c r="R48" s="106">
        <v>1013</v>
      </c>
      <c r="S48" s="72" t="s">
        <v>0</v>
      </c>
    </row>
    <row r="49" spans="12:19" x14ac:dyDescent="0.25">
      <c r="L49" s="94">
        <v>45938</v>
      </c>
      <c r="M49" s="86">
        <v>1</v>
      </c>
      <c r="N49" s="86">
        <v>16</v>
      </c>
      <c r="O49" s="100">
        <v>2527413501</v>
      </c>
      <c r="P49" s="100" t="s">
        <v>47</v>
      </c>
      <c r="Q49" s="100">
        <v>1000</v>
      </c>
      <c r="R49" s="106">
        <v>1013</v>
      </c>
      <c r="S49" s="72" t="s">
        <v>0</v>
      </c>
    </row>
    <row r="50" spans="12:19" x14ac:dyDescent="0.25">
      <c r="L50" s="94">
        <v>45938</v>
      </c>
      <c r="M50" s="86">
        <v>1</v>
      </c>
      <c r="N50" s="86">
        <v>17</v>
      </c>
      <c r="O50" s="100">
        <v>2527413501</v>
      </c>
      <c r="P50" s="100" t="s">
        <v>47</v>
      </c>
      <c r="Q50" s="100">
        <v>1000</v>
      </c>
      <c r="R50" s="106">
        <v>1013</v>
      </c>
      <c r="S50" s="72" t="s">
        <v>0</v>
      </c>
    </row>
    <row r="51" spans="12:19" x14ac:dyDescent="0.25">
      <c r="L51" s="94">
        <v>45942</v>
      </c>
      <c r="M51" s="86">
        <v>1</v>
      </c>
      <c r="N51" s="86">
        <v>18</v>
      </c>
      <c r="O51" s="100">
        <v>2527413501</v>
      </c>
      <c r="P51" s="100" t="s">
        <v>47</v>
      </c>
      <c r="Q51" s="100">
        <v>1000</v>
      </c>
      <c r="R51" s="106">
        <v>1013</v>
      </c>
      <c r="S51" s="72" t="s">
        <v>0</v>
      </c>
    </row>
    <row r="52" spans="12:19" x14ac:dyDescent="0.25">
      <c r="L52" s="94">
        <v>45942</v>
      </c>
      <c r="M52" s="86">
        <v>1</v>
      </c>
      <c r="N52" s="86">
        <v>19</v>
      </c>
      <c r="O52" s="100">
        <v>2527413501</v>
      </c>
      <c r="P52" s="100" t="s">
        <v>47</v>
      </c>
      <c r="Q52" s="100">
        <v>1000</v>
      </c>
      <c r="R52" s="106">
        <v>1013</v>
      </c>
      <c r="S52" s="72" t="s">
        <v>0</v>
      </c>
    </row>
    <row r="53" spans="12:19" ht="15.75" thickBot="1" x14ac:dyDescent="0.3">
      <c r="L53" s="95">
        <v>45942</v>
      </c>
      <c r="M53" s="96">
        <v>1</v>
      </c>
      <c r="N53" s="96">
        <v>20</v>
      </c>
      <c r="O53" s="101">
        <v>2527413501</v>
      </c>
      <c r="P53" s="101" t="s">
        <v>47</v>
      </c>
      <c r="Q53" s="101">
        <v>1000</v>
      </c>
      <c r="R53" s="107">
        <v>1013</v>
      </c>
      <c r="S53" s="108" t="s">
        <v>0</v>
      </c>
    </row>
    <row r="54" spans="12:19" ht="15.75" thickTop="1" x14ac:dyDescent="0.25">
      <c r="L54" s="98">
        <v>45942</v>
      </c>
      <c r="M54" s="97">
        <v>1</v>
      </c>
      <c r="N54" s="97">
        <v>1</v>
      </c>
      <c r="O54" s="99">
        <v>2528513501</v>
      </c>
      <c r="P54" s="99" t="s">
        <v>47</v>
      </c>
      <c r="Q54" s="99">
        <v>1000</v>
      </c>
      <c r="R54" s="104">
        <v>1015</v>
      </c>
      <c r="S54" s="105" t="s">
        <v>0</v>
      </c>
    </row>
    <row r="55" spans="12:19" x14ac:dyDescent="0.25">
      <c r="L55" s="94">
        <v>45942</v>
      </c>
      <c r="M55" s="86">
        <v>1</v>
      </c>
      <c r="N55" s="86">
        <v>2</v>
      </c>
      <c r="O55" s="100">
        <v>2528513501</v>
      </c>
      <c r="P55" s="100" t="s">
        <v>47</v>
      </c>
      <c r="Q55" s="100">
        <v>1000</v>
      </c>
      <c r="R55" s="106">
        <v>1015</v>
      </c>
      <c r="S55" s="72" t="s">
        <v>0</v>
      </c>
    </row>
    <row r="56" spans="12:19" x14ac:dyDescent="0.25">
      <c r="L56" s="94">
        <v>45942</v>
      </c>
      <c r="M56" s="86">
        <v>1</v>
      </c>
      <c r="N56" s="86">
        <v>3</v>
      </c>
      <c r="O56" s="100">
        <v>2528513501</v>
      </c>
      <c r="P56" s="100" t="s">
        <v>47</v>
      </c>
      <c r="Q56" s="100">
        <v>1000</v>
      </c>
      <c r="R56" s="106">
        <v>1017</v>
      </c>
      <c r="S56" s="72" t="s">
        <v>0</v>
      </c>
    </row>
    <row r="57" spans="12:19" x14ac:dyDescent="0.25">
      <c r="L57" s="94">
        <v>45942</v>
      </c>
      <c r="M57" s="86">
        <v>1</v>
      </c>
      <c r="N57" s="86">
        <v>4</v>
      </c>
      <c r="O57" s="100">
        <v>2528513501</v>
      </c>
      <c r="P57" s="100" t="s">
        <v>47</v>
      </c>
      <c r="Q57" s="100">
        <v>1000</v>
      </c>
      <c r="R57" s="106">
        <v>1014</v>
      </c>
      <c r="S57" s="72" t="s">
        <v>0</v>
      </c>
    </row>
    <row r="58" spans="12:19" x14ac:dyDescent="0.25">
      <c r="L58" s="94">
        <v>45942</v>
      </c>
      <c r="M58" s="86">
        <v>1</v>
      </c>
      <c r="N58" s="86">
        <v>5</v>
      </c>
      <c r="O58" s="100">
        <v>2528513501</v>
      </c>
      <c r="P58" s="100" t="s">
        <v>47</v>
      </c>
      <c r="Q58" s="100">
        <v>1000</v>
      </c>
      <c r="R58" s="106">
        <v>1029</v>
      </c>
      <c r="S58" s="72" t="s">
        <v>0</v>
      </c>
    </row>
    <row r="59" spans="12:19" x14ac:dyDescent="0.25">
      <c r="L59" s="94">
        <v>45942</v>
      </c>
      <c r="M59" s="86">
        <v>1</v>
      </c>
      <c r="N59" s="86">
        <v>6</v>
      </c>
      <c r="O59" s="100">
        <v>2528513501</v>
      </c>
      <c r="P59" s="100" t="s">
        <v>47</v>
      </c>
      <c r="Q59" s="100">
        <v>1000</v>
      </c>
      <c r="R59" s="106">
        <v>1004</v>
      </c>
      <c r="S59" s="72" t="s">
        <v>0</v>
      </c>
    </row>
    <row r="60" spans="12:19" x14ac:dyDescent="0.25">
      <c r="L60" s="94">
        <v>45942</v>
      </c>
      <c r="M60" s="86">
        <v>1</v>
      </c>
      <c r="N60" s="86">
        <v>7</v>
      </c>
      <c r="O60" s="100">
        <v>2528513501</v>
      </c>
      <c r="P60" s="100" t="s">
        <v>47</v>
      </c>
      <c r="Q60" s="100">
        <v>1000</v>
      </c>
      <c r="R60" s="106">
        <v>1027</v>
      </c>
      <c r="S60" s="72" t="s">
        <v>0</v>
      </c>
    </row>
    <row r="61" spans="12:19" x14ac:dyDescent="0.25">
      <c r="L61" s="94">
        <v>45943</v>
      </c>
      <c r="M61" s="86">
        <v>1</v>
      </c>
      <c r="N61" s="86">
        <v>10</v>
      </c>
      <c r="O61" s="100">
        <v>2528513501</v>
      </c>
      <c r="P61" s="100" t="s">
        <v>47</v>
      </c>
      <c r="Q61" s="100">
        <v>1000</v>
      </c>
      <c r="R61" s="106">
        <v>1015</v>
      </c>
      <c r="S61" s="72" t="s">
        <v>0</v>
      </c>
    </row>
    <row r="62" spans="12:19" x14ac:dyDescent="0.25">
      <c r="L62" s="94">
        <v>45943</v>
      </c>
      <c r="M62" s="86">
        <v>1</v>
      </c>
      <c r="N62" s="86">
        <v>11</v>
      </c>
      <c r="O62" s="100">
        <v>2528513501</v>
      </c>
      <c r="P62" s="100" t="s">
        <v>47</v>
      </c>
      <c r="Q62" s="100">
        <v>1000</v>
      </c>
      <c r="R62" s="106">
        <v>1008</v>
      </c>
      <c r="S62" s="72" t="s">
        <v>0</v>
      </c>
    </row>
    <row r="63" spans="12:19" x14ac:dyDescent="0.25">
      <c r="L63" s="94">
        <v>45943</v>
      </c>
      <c r="M63" s="86">
        <v>1</v>
      </c>
      <c r="N63" s="86">
        <v>12</v>
      </c>
      <c r="O63" s="100">
        <v>2528513501</v>
      </c>
      <c r="P63" s="100" t="s">
        <v>47</v>
      </c>
      <c r="Q63" s="100">
        <v>1000</v>
      </c>
      <c r="R63" s="106">
        <v>1020</v>
      </c>
      <c r="S63" s="72" t="s">
        <v>0</v>
      </c>
    </row>
    <row r="64" spans="12:19" x14ac:dyDescent="0.25">
      <c r="L64" s="94">
        <v>45943</v>
      </c>
      <c r="M64" s="86">
        <v>1</v>
      </c>
      <c r="N64" s="86">
        <v>13</v>
      </c>
      <c r="O64" s="100">
        <v>2528513501</v>
      </c>
      <c r="P64" s="100" t="s">
        <v>47</v>
      </c>
      <c r="Q64" s="100">
        <v>1000</v>
      </c>
      <c r="R64" s="106">
        <v>1005</v>
      </c>
      <c r="S64" s="72" t="s">
        <v>0</v>
      </c>
    </row>
    <row r="65" spans="12:19" x14ac:dyDescent="0.25">
      <c r="L65" s="94">
        <v>45943</v>
      </c>
      <c r="M65" s="86">
        <v>1</v>
      </c>
      <c r="N65" s="86">
        <v>14</v>
      </c>
      <c r="O65" s="100">
        <v>2528513501</v>
      </c>
      <c r="P65" s="100" t="s">
        <v>47</v>
      </c>
      <c r="Q65" s="100">
        <v>1000</v>
      </c>
      <c r="R65" s="106">
        <v>1012</v>
      </c>
      <c r="S65" s="72" t="s">
        <v>0</v>
      </c>
    </row>
    <row r="66" spans="12:19" x14ac:dyDescent="0.25">
      <c r="L66" s="94">
        <v>45944</v>
      </c>
      <c r="M66" s="86">
        <v>1</v>
      </c>
      <c r="N66" s="86">
        <v>16</v>
      </c>
      <c r="O66" s="100">
        <v>2528513501</v>
      </c>
      <c r="P66" s="100" t="s">
        <v>47</v>
      </c>
      <c r="Q66" s="100">
        <v>1000</v>
      </c>
      <c r="R66" s="106">
        <v>1017</v>
      </c>
      <c r="S66" s="72" t="s">
        <v>0</v>
      </c>
    </row>
    <row r="67" spans="12:19" x14ac:dyDescent="0.25">
      <c r="L67" s="94">
        <v>45944</v>
      </c>
      <c r="M67" s="86">
        <v>1</v>
      </c>
      <c r="N67" s="86">
        <v>17</v>
      </c>
      <c r="O67" s="100">
        <v>2528513501</v>
      </c>
      <c r="P67" s="100" t="s">
        <v>47</v>
      </c>
      <c r="Q67" s="100">
        <v>1000</v>
      </c>
      <c r="R67" s="106">
        <v>1003</v>
      </c>
      <c r="S67" s="72" t="s">
        <v>0</v>
      </c>
    </row>
    <row r="68" spans="12:19" x14ac:dyDescent="0.25">
      <c r="L68" s="94">
        <v>45944</v>
      </c>
      <c r="M68" s="86">
        <v>1</v>
      </c>
      <c r="N68" s="86">
        <v>18</v>
      </c>
      <c r="O68" s="100">
        <v>2528513501</v>
      </c>
      <c r="P68" s="100" t="s">
        <v>47</v>
      </c>
      <c r="Q68" s="100">
        <v>1000</v>
      </c>
      <c r="R68" s="106">
        <v>1012</v>
      </c>
      <c r="S68" s="72" t="s">
        <v>0</v>
      </c>
    </row>
    <row r="69" spans="12:19" ht="15.75" thickBot="1" x14ac:dyDescent="0.3">
      <c r="L69" s="95">
        <v>45944</v>
      </c>
      <c r="M69" s="96">
        <v>1</v>
      </c>
      <c r="N69" s="96">
        <v>20</v>
      </c>
      <c r="O69" s="101">
        <v>2528513501</v>
      </c>
      <c r="P69" s="101" t="s">
        <v>47</v>
      </c>
      <c r="Q69" s="101">
        <v>1000</v>
      </c>
      <c r="R69" s="107">
        <v>1017</v>
      </c>
      <c r="S69" s="108" t="s">
        <v>0</v>
      </c>
    </row>
    <row r="70" spans="12:19" ht="15.75" thickTop="1" x14ac:dyDescent="0.25">
      <c r="L70" s="98">
        <v>45945</v>
      </c>
      <c r="M70" s="97">
        <v>1</v>
      </c>
      <c r="N70" s="97">
        <v>1</v>
      </c>
      <c r="O70" s="99">
        <v>2528713501</v>
      </c>
      <c r="P70" s="99" t="s">
        <v>47</v>
      </c>
      <c r="Q70" s="99">
        <v>1000</v>
      </c>
      <c r="R70" s="104">
        <v>1015</v>
      </c>
      <c r="S70" s="105" t="s">
        <v>0</v>
      </c>
    </row>
    <row r="71" spans="12:19" x14ac:dyDescent="0.25">
      <c r="L71" s="94">
        <v>45945</v>
      </c>
      <c r="M71" s="86">
        <v>1</v>
      </c>
      <c r="N71" s="86">
        <v>2</v>
      </c>
      <c r="O71" s="100">
        <v>2528713501</v>
      </c>
      <c r="P71" s="100" t="s">
        <v>47</v>
      </c>
      <c r="Q71" s="100">
        <v>1000</v>
      </c>
      <c r="R71" s="106">
        <v>1016</v>
      </c>
      <c r="S71" s="72" t="s">
        <v>0</v>
      </c>
    </row>
    <row r="72" spans="12:19" x14ac:dyDescent="0.25">
      <c r="L72" s="94">
        <v>45945</v>
      </c>
      <c r="M72" s="86">
        <v>1</v>
      </c>
      <c r="N72" s="86">
        <v>3</v>
      </c>
      <c r="O72" s="100">
        <v>2528713501</v>
      </c>
      <c r="P72" s="100" t="s">
        <v>47</v>
      </c>
      <c r="Q72" s="100">
        <v>1000</v>
      </c>
      <c r="R72" s="106">
        <v>1015</v>
      </c>
      <c r="S72" s="72" t="s">
        <v>0</v>
      </c>
    </row>
    <row r="73" spans="12:19" x14ac:dyDescent="0.25">
      <c r="L73" s="94">
        <v>45945</v>
      </c>
      <c r="M73" s="86">
        <v>1</v>
      </c>
      <c r="N73" s="86">
        <v>4</v>
      </c>
      <c r="O73" s="100">
        <v>2528713501</v>
      </c>
      <c r="P73" s="100" t="s">
        <v>47</v>
      </c>
      <c r="Q73" s="100">
        <v>1000</v>
      </c>
      <c r="R73" s="106">
        <v>1018</v>
      </c>
      <c r="S73" s="72" t="s">
        <v>0</v>
      </c>
    </row>
    <row r="74" spans="12:19" x14ac:dyDescent="0.25">
      <c r="L74" s="94">
        <v>45945</v>
      </c>
      <c r="M74" s="86">
        <v>1</v>
      </c>
      <c r="N74" s="86">
        <v>5</v>
      </c>
      <c r="O74" s="100">
        <v>2528713501</v>
      </c>
      <c r="P74" s="100" t="s">
        <v>47</v>
      </c>
      <c r="Q74" s="100">
        <v>1000</v>
      </c>
      <c r="R74" s="106">
        <v>1016</v>
      </c>
      <c r="S74" s="72" t="s">
        <v>0</v>
      </c>
    </row>
    <row r="75" spans="12:19" x14ac:dyDescent="0.25">
      <c r="L75" s="94">
        <v>45945</v>
      </c>
      <c r="M75" s="86">
        <v>1</v>
      </c>
      <c r="N75" s="86">
        <v>6</v>
      </c>
      <c r="O75" s="100">
        <v>2528713501</v>
      </c>
      <c r="P75" s="100" t="s">
        <v>47</v>
      </c>
      <c r="Q75" s="100">
        <v>1000</v>
      </c>
      <c r="R75" s="106">
        <v>1008</v>
      </c>
      <c r="S75" s="72" t="s">
        <v>0</v>
      </c>
    </row>
    <row r="76" spans="12:19" x14ac:dyDescent="0.25">
      <c r="L76" s="94">
        <v>45945</v>
      </c>
      <c r="M76" s="86">
        <v>1</v>
      </c>
      <c r="N76" s="86">
        <v>7</v>
      </c>
      <c r="O76" s="100">
        <v>2528713501</v>
      </c>
      <c r="P76" s="100" t="s">
        <v>47</v>
      </c>
      <c r="Q76" s="100">
        <v>1000</v>
      </c>
      <c r="R76" s="106">
        <v>1025</v>
      </c>
      <c r="S76" s="72" t="s">
        <v>0</v>
      </c>
    </row>
    <row r="77" spans="12:19" x14ac:dyDescent="0.25">
      <c r="L77" s="94">
        <v>45945</v>
      </c>
      <c r="M77" s="86">
        <v>1</v>
      </c>
      <c r="N77" s="86">
        <v>8</v>
      </c>
      <c r="O77" s="100">
        <v>2528713501</v>
      </c>
      <c r="P77" s="100" t="s">
        <v>47</v>
      </c>
      <c r="Q77" s="100">
        <v>1000</v>
      </c>
      <c r="R77" s="106">
        <v>1017</v>
      </c>
      <c r="S77" s="72" t="s">
        <v>0</v>
      </c>
    </row>
    <row r="78" spans="12:19" x14ac:dyDescent="0.25">
      <c r="L78" s="94">
        <v>45945</v>
      </c>
      <c r="M78" s="86">
        <v>1</v>
      </c>
      <c r="N78" s="86">
        <v>9</v>
      </c>
      <c r="O78" s="100">
        <v>2528713501</v>
      </c>
      <c r="P78" s="100" t="s">
        <v>47</v>
      </c>
      <c r="Q78" s="100">
        <v>1000</v>
      </c>
      <c r="R78" s="106">
        <v>1015</v>
      </c>
      <c r="S78" s="72" t="s">
        <v>0</v>
      </c>
    </row>
    <row r="79" spans="12:19" x14ac:dyDescent="0.25">
      <c r="L79" s="94">
        <v>45945</v>
      </c>
      <c r="M79" s="86">
        <v>1</v>
      </c>
      <c r="N79" s="86">
        <v>10</v>
      </c>
      <c r="O79" s="100">
        <v>2528713501</v>
      </c>
      <c r="P79" s="100" t="s">
        <v>47</v>
      </c>
      <c r="Q79" s="100">
        <v>1000</v>
      </c>
      <c r="R79" s="106">
        <v>1018</v>
      </c>
      <c r="S79" s="72" t="s">
        <v>0</v>
      </c>
    </row>
    <row r="80" spans="12:19" x14ac:dyDescent="0.25">
      <c r="L80" s="94">
        <v>45945</v>
      </c>
      <c r="M80" s="86">
        <v>1</v>
      </c>
      <c r="N80" s="86">
        <v>11</v>
      </c>
      <c r="O80" s="100">
        <v>2528713501</v>
      </c>
      <c r="P80" s="100" t="s">
        <v>47</v>
      </c>
      <c r="Q80" s="100">
        <v>1000</v>
      </c>
      <c r="R80" s="106">
        <v>1017</v>
      </c>
      <c r="S80" s="72" t="s">
        <v>0</v>
      </c>
    </row>
    <row r="81" spans="12:19" x14ac:dyDescent="0.25">
      <c r="L81" s="94">
        <v>45946</v>
      </c>
      <c r="M81" s="86">
        <v>1</v>
      </c>
      <c r="N81" s="86">
        <v>12</v>
      </c>
      <c r="O81" s="100">
        <v>2528713501</v>
      </c>
      <c r="P81" s="100" t="s">
        <v>47</v>
      </c>
      <c r="Q81" s="100">
        <v>1000</v>
      </c>
      <c r="R81" s="106">
        <v>1024</v>
      </c>
      <c r="S81" s="72" t="s">
        <v>0</v>
      </c>
    </row>
    <row r="82" spans="12:19" x14ac:dyDescent="0.25">
      <c r="L82" s="94">
        <v>45946</v>
      </c>
      <c r="M82" s="86">
        <v>1</v>
      </c>
      <c r="N82" s="86">
        <v>13</v>
      </c>
      <c r="O82" s="100">
        <v>2528713501</v>
      </c>
      <c r="P82" s="100" t="s">
        <v>47</v>
      </c>
      <c r="Q82" s="100">
        <v>1000</v>
      </c>
      <c r="R82" s="106">
        <v>1015</v>
      </c>
      <c r="S82" s="72" t="s">
        <v>0</v>
      </c>
    </row>
    <row r="83" spans="12:19" x14ac:dyDescent="0.25">
      <c r="L83" s="94">
        <v>45946</v>
      </c>
      <c r="M83" s="86">
        <v>1</v>
      </c>
      <c r="N83" s="86">
        <v>14</v>
      </c>
      <c r="O83" s="100">
        <v>2528713501</v>
      </c>
      <c r="P83" s="100" t="s">
        <v>47</v>
      </c>
      <c r="Q83" s="100">
        <v>1000</v>
      </c>
      <c r="R83" s="106">
        <v>1005</v>
      </c>
      <c r="S83" s="72" t="s">
        <v>0</v>
      </c>
    </row>
    <row r="84" spans="12:19" x14ac:dyDescent="0.25">
      <c r="L84" s="94">
        <v>45946</v>
      </c>
      <c r="M84" s="86">
        <v>1</v>
      </c>
      <c r="N84" s="86">
        <v>15</v>
      </c>
      <c r="O84" s="100">
        <v>2528713501</v>
      </c>
      <c r="P84" s="100" t="s">
        <v>47</v>
      </c>
      <c r="Q84" s="100">
        <v>1000</v>
      </c>
      <c r="R84" s="106">
        <v>1015</v>
      </c>
      <c r="S84" s="72" t="s">
        <v>0</v>
      </c>
    </row>
    <row r="85" spans="12:19" x14ac:dyDescent="0.25">
      <c r="L85" s="94">
        <v>45946</v>
      </c>
      <c r="M85" s="86">
        <v>1</v>
      </c>
      <c r="N85" s="86">
        <v>16</v>
      </c>
      <c r="O85" s="100">
        <v>2528713501</v>
      </c>
      <c r="P85" s="100" t="s">
        <v>47</v>
      </c>
      <c r="Q85" s="100">
        <v>1000</v>
      </c>
      <c r="R85" s="106">
        <v>1015</v>
      </c>
      <c r="S85" s="72" t="s">
        <v>0</v>
      </c>
    </row>
    <row r="86" spans="12:19" x14ac:dyDescent="0.25">
      <c r="L86" s="94">
        <v>45946</v>
      </c>
      <c r="M86" s="86">
        <v>1</v>
      </c>
      <c r="N86" s="86">
        <v>17</v>
      </c>
      <c r="O86" s="100">
        <v>2528713501</v>
      </c>
      <c r="P86" s="100" t="s">
        <v>47</v>
      </c>
      <c r="Q86" s="100">
        <v>1000</v>
      </c>
      <c r="R86" s="106">
        <v>1005</v>
      </c>
      <c r="S86" s="72" t="s">
        <v>0</v>
      </c>
    </row>
    <row r="87" spans="12:19" x14ac:dyDescent="0.25">
      <c r="L87" s="94">
        <v>45947</v>
      </c>
      <c r="M87" s="86">
        <v>1</v>
      </c>
      <c r="N87" s="86">
        <v>18</v>
      </c>
      <c r="O87" s="100">
        <v>2528713501</v>
      </c>
      <c r="P87" s="100" t="s">
        <v>47</v>
      </c>
      <c r="Q87" s="100">
        <v>1000</v>
      </c>
      <c r="R87" s="106">
        <v>1010</v>
      </c>
      <c r="S87" s="72" t="s">
        <v>0</v>
      </c>
    </row>
    <row r="88" spans="12:19" x14ac:dyDescent="0.25">
      <c r="L88" s="94">
        <v>45947</v>
      </c>
      <c r="M88" s="86">
        <v>1</v>
      </c>
      <c r="N88" s="86">
        <v>19</v>
      </c>
      <c r="O88" s="100">
        <v>2528713501</v>
      </c>
      <c r="P88" s="100" t="s">
        <v>47</v>
      </c>
      <c r="Q88" s="100">
        <v>1000</v>
      </c>
      <c r="R88" s="106">
        <v>1020</v>
      </c>
      <c r="S88" s="72" t="s">
        <v>0</v>
      </c>
    </row>
    <row r="89" spans="12:19" ht="15.75" thickBot="1" x14ac:dyDescent="0.3">
      <c r="L89" s="95">
        <v>45947</v>
      </c>
      <c r="M89" s="96">
        <v>1</v>
      </c>
      <c r="N89" s="96">
        <v>20</v>
      </c>
      <c r="O89" s="101">
        <v>2528713501</v>
      </c>
      <c r="P89" s="101" t="s">
        <v>47</v>
      </c>
      <c r="Q89" s="101">
        <v>1000</v>
      </c>
      <c r="R89" s="107">
        <v>1019</v>
      </c>
      <c r="S89" s="108" t="s">
        <v>0</v>
      </c>
    </row>
    <row r="90" spans="12:19" ht="15.75" thickTop="1" x14ac:dyDescent="0.25">
      <c r="L90" s="98">
        <v>45948</v>
      </c>
      <c r="M90" s="97">
        <v>1</v>
      </c>
      <c r="N90" s="97">
        <v>1</v>
      </c>
      <c r="O90" s="99">
        <v>2529113501</v>
      </c>
      <c r="P90" s="99" t="s">
        <v>47</v>
      </c>
      <c r="Q90" s="99">
        <v>1000</v>
      </c>
      <c r="R90" s="104">
        <v>1015</v>
      </c>
      <c r="S90" s="105" t="s">
        <v>0</v>
      </c>
    </row>
    <row r="91" spans="12:19" x14ac:dyDescent="0.25">
      <c r="L91" s="94">
        <v>45948</v>
      </c>
      <c r="M91" s="86">
        <v>1</v>
      </c>
      <c r="N91" s="86">
        <v>2</v>
      </c>
      <c r="O91" s="100">
        <v>2529113501</v>
      </c>
      <c r="P91" s="100" t="s">
        <v>47</v>
      </c>
      <c r="Q91" s="100">
        <v>1000</v>
      </c>
      <c r="R91" s="106">
        <v>1018</v>
      </c>
      <c r="S91" s="72" t="s">
        <v>0</v>
      </c>
    </row>
    <row r="92" spans="12:19" x14ac:dyDescent="0.25">
      <c r="L92" s="94">
        <v>45948</v>
      </c>
      <c r="M92" s="86">
        <v>1</v>
      </c>
      <c r="N92" s="86">
        <v>3</v>
      </c>
      <c r="O92" s="100">
        <v>2529113501</v>
      </c>
      <c r="P92" s="100" t="s">
        <v>47</v>
      </c>
      <c r="Q92" s="100">
        <v>1000</v>
      </c>
      <c r="R92" s="106">
        <v>1011</v>
      </c>
      <c r="S92" s="72" t="s">
        <v>0</v>
      </c>
    </row>
    <row r="93" spans="12:19" x14ac:dyDescent="0.25">
      <c r="L93" s="94">
        <v>45948</v>
      </c>
      <c r="M93" s="86">
        <v>1</v>
      </c>
      <c r="N93" s="86">
        <v>4</v>
      </c>
      <c r="O93" s="100">
        <v>2529113501</v>
      </c>
      <c r="P93" s="100" t="s">
        <v>47</v>
      </c>
      <c r="Q93" s="100">
        <v>1000</v>
      </c>
      <c r="R93" s="106">
        <v>1013</v>
      </c>
      <c r="S93" s="72" t="s">
        <v>0</v>
      </c>
    </row>
    <row r="94" spans="12:19" x14ac:dyDescent="0.25">
      <c r="L94" s="94">
        <v>45948</v>
      </c>
      <c r="M94" s="86">
        <v>1</v>
      </c>
      <c r="N94" s="86">
        <v>5</v>
      </c>
      <c r="O94" s="100">
        <v>2529113501</v>
      </c>
      <c r="P94" s="100" t="s">
        <v>47</v>
      </c>
      <c r="Q94" s="100">
        <v>1000</v>
      </c>
      <c r="R94" s="106">
        <v>1015</v>
      </c>
      <c r="S94" s="72" t="s">
        <v>0</v>
      </c>
    </row>
    <row r="95" spans="12:19" x14ac:dyDescent="0.25">
      <c r="L95" s="94">
        <v>45948</v>
      </c>
      <c r="M95" s="86">
        <v>1</v>
      </c>
      <c r="N95" s="86">
        <v>6</v>
      </c>
      <c r="O95" s="100">
        <v>2529113501</v>
      </c>
      <c r="P95" s="100" t="s">
        <v>47</v>
      </c>
      <c r="Q95" s="100">
        <v>1000</v>
      </c>
      <c r="R95" s="106">
        <v>1017</v>
      </c>
      <c r="S95" s="72" t="s">
        <v>0</v>
      </c>
    </row>
    <row r="96" spans="12:19" x14ac:dyDescent="0.25">
      <c r="L96" s="94">
        <v>45948</v>
      </c>
      <c r="M96" s="86">
        <v>1</v>
      </c>
      <c r="N96" s="86">
        <v>7</v>
      </c>
      <c r="O96" s="100">
        <v>2529113501</v>
      </c>
      <c r="P96" s="100" t="s">
        <v>47</v>
      </c>
      <c r="Q96" s="100">
        <v>1000</v>
      </c>
      <c r="R96" s="106">
        <v>1022</v>
      </c>
      <c r="S96" s="72" t="s">
        <v>0</v>
      </c>
    </row>
    <row r="97" spans="12:19" x14ac:dyDescent="0.25">
      <c r="L97" s="94">
        <v>45948</v>
      </c>
      <c r="M97" s="86">
        <v>1</v>
      </c>
      <c r="N97" s="86">
        <v>8</v>
      </c>
      <c r="O97" s="100">
        <v>2529113501</v>
      </c>
      <c r="P97" s="100" t="s">
        <v>47</v>
      </c>
      <c r="Q97" s="100">
        <v>1000</v>
      </c>
      <c r="R97" s="106">
        <v>1022</v>
      </c>
      <c r="S97" s="72" t="s">
        <v>0</v>
      </c>
    </row>
    <row r="98" spans="12:19" x14ac:dyDescent="0.25">
      <c r="L98" s="94">
        <v>45948</v>
      </c>
      <c r="M98" s="86">
        <v>1</v>
      </c>
      <c r="N98" s="86">
        <v>9</v>
      </c>
      <c r="O98" s="100">
        <v>2529113501</v>
      </c>
      <c r="P98" s="100" t="s">
        <v>47</v>
      </c>
      <c r="Q98" s="100">
        <v>1000</v>
      </c>
      <c r="R98" s="106">
        <v>1008</v>
      </c>
      <c r="S98" s="72" t="s">
        <v>0</v>
      </c>
    </row>
    <row r="99" spans="12:19" x14ac:dyDescent="0.25">
      <c r="L99" s="94">
        <v>45950</v>
      </c>
      <c r="M99" s="86">
        <v>1</v>
      </c>
      <c r="N99" s="86">
        <v>10</v>
      </c>
      <c r="O99" s="100">
        <v>2529113501</v>
      </c>
      <c r="P99" s="100" t="s">
        <v>47</v>
      </c>
      <c r="Q99" s="100">
        <v>1000</v>
      </c>
      <c r="R99" s="106">
        <v>1017</v>
      </c>
      <c r="S99" s="72" t="s">
        <v>0</v>
      </c>
    </row>
    <row r="100" spans="12:19" x14ac:dyDescent="0.25">
      <c r="L100" s="94">
        <v>45950</v>
      </c>
      <c r="M100" s="86">
        <v>1</v>
      </c>
      <c r="N100" s="86">
        <v>11</v>
      </c>
      <c r="O100" s="100">
        <v>2529113501</v>
      </c>
      <c r="P100" s="100" t="s">
        <v>47</v>
      </c>
      <c r="Q100" s="100">
        <v>1000</v>
      </c>
      <c r="R100" s="106">
        <v>1016</v>
      </c>
      <c r="S100" s="72" t="s">
        <v>0</v>
      </c>
    </row>
    <row r="101" spans="12:19" x14ac:dyDescent="0.25">
      <c r="L101" s="94">
        <v>45950</v>
      </c>
      <c r="M101" s="86">
        <v>1</v>
      </c>
      <c r="N101" s="86">
        <v>12</v>
      </c>
      <c r="O101" s="100">
        <v>2529113501</v>
      </c>
      <c r="P101" s="100" t="s">
        <v>47</v>
      </c>
      <c r="Q101" s="100">
        <v>1000</v>
      </c>
      <c r="R101" s="106">
        <v>1010</v>
      </c>
      <c r="S101" s="72" t="s">
        <v>0</v>
      </c>
    </row>
    <row r="102" spans="12:19" x14ac:dyDescent="0.25">
      <c r="L102" s="94">
        <v>45950</v>
      </c>
      <c r="M102" s="86">
        <v>1</v>
      </c>
      <c r="N102" s="86">
        <v>13</v>
      </c>
      <c r="O102" s="100">
        <v>2529113501</v>
      </c>
      <c r="P102" s="100" t="s">
        <v>47</v>
      </c>
      <c r="Q102" s="100">
        <v>1000</v>
      </c>
      <c r="R102" s="106">
        <v>1000</v>
      </c>
      <c r="S102" s="72" t="s">
        <v>0</v>
      </c>
    </row>
    <row r="103" spans="12:19" x14ac:dyDescent="0.25">
      <c r="L103" s="94">
        <v>45950</v>
      </c>
      <c r="M103" s="86">
        <v>1</v>
      </c>
      <c r="N103" s="86">
        <v>14</v>
      </c>
      <c r="O103" s="100">
        <v>2529113501</v>
      </c>
      <c r="P103" s="100" t="s">
        <v>47</v>
      </c>
      <c r="Q103" s="100">
        <v>1000</v>
      </c>
      <c r="R103" s="106">
        <v>1015</v>
      </c>
      <c r="S103" s="72" t="s">
        <v>0</v>
      </c>
    </row>
    <row r="104" spans="12:19" x14ac:dyDescent="0.25">
      <c r="L104" s="94">
        <v>45950</v>
      </c>
      <c r="M104" s="86">
        <v>1</v>
      </c>
      <c r="N104" s="86">
        <v>15</v>
      </c>
      <c r="O104" s="100">
        <v>2529113501</v>
      </c>
      <c r="P104" s="100" t="s">
        <v>47</v>
      </c>
      <c r="Q104" s="100">
        <v>1000</v>
      </c>
      <c r="R104" s="106">
        <v>1017</v>
      </c>
      <c r="S104" s="72" t="s">
        <v>0</v>
      </c>
    </row>
    <row r="105" spans="12:19" x14ac:dyDescent="0.25">
      <c r="L105" s="94">
        <v>45951</v>
      </c>
      <c r="M105" s="86">
        <v>1</v>
      </c>
      <c r="N105" s="86">
        <v>16</v>
      </c>
      <c r="O105" s="100">
        <v>2529113501</v>
      </c>
      <c r="P105" s="100" t="s">
        <v>47</v>
      </c>
      <c r="Q105" s="100">
        <v>1000</v>
      </c>
      <c r="R105" s="106">
        <v>1005</v>
      </c>
      <c r="S105" s="72" t="s">
        <v>0</v>
      </c>
    </row>
    <row r="106" spans="12:19" x14ac:dyDescent="0.25">
      <c r="L106" s="94">
        <v>45951</v>
      </c>
      <c r="M106" s="86">
        <v>1</v>
      </c>
      <c r="N106" s="86">
        <v>17</v>
      </c>
      <c r="O106" s="100">
        <v>2529113501</v>
      </c>
      <c r="P106" s="100" t="s">
        <v>47</v>
      </c>
      <c r="Q106" s="100">
        <v>1000</v>
      </c>
      <c r="R106" s="106">
        <v>1017</v>
      </c>
      <c r="S106" s="72" t="s">
        <v>0</v>
      </c>
    </row>
    <row r="107" spans="12:19" x14ac:dyDescent="0.25">
      <c r="L107" s="94">
        <v>45951</v>
      </c>
      <c r="M107" s="86">
        <v>1</v>
      </c>
      <c r="N107" s="86">
        <v>18</v>
      </c>
      <c r="O107" s="100">
        <v>2529113501</v>
      </c>
      <c r="P107" s="100" t="s">
        <v>47</v>
      </c>
      <c r="Q107" s="100">
        <v>1000</v>
      </c>
      <c r="R107" s="106">
        <v>1013</v>
      </c>
      <c r="S107" s="72" t="s">
        <v>0</v>
      </c>
    </row>
    <row r="108" spans="12:19" x14ac:dyDescent="0.25">
      <c r="L108" s="94">
        <v>45951</v>
      </c>
      <c r="M108" s="86">
        <v>1</v>
      </c>
      <c r="N108" s="86">
        <v>19</v>
      </c>
      <c r="O108" s="100">
        <v>2529113501</v>
      </c>
      <c r="P108" s="100" t="s">
        <v>47</v>
      </c>
      <c r="Q108" s="100">
        <v>1000</v>
      </c>
      <c r="R108" s="106">
        <v>1004</v>
      </c>
      <c r="S108" s="72" t="s">
        <v>0</v>
      </c>
    </row>
    <row r="109" spans="12:19" ht="15.75" thickBot="1" x14ac:dyDescent="0.3">
      <c r="L109" s="95">
        <v>45951</v>
      </c>
      <c r="M109" s="96">
        <v>1</v>
      </c>
      <c r="N109" s="96">
        <v>20</v>
      </c>
      <c r="O109" s="101">
        <v>2529113501</v>
      </c>
      <c r="P109" s="101" t="s">
        <v>47</v>
      </c>
      <c r="Q109" s="101">
        <v>1000</v>
      </c>
      <c r="R109" s="107">
        <v>997</v>
      </c>
      <c r="S109" s="108" t="s">
        <v>0</v>
      </c>
    </row>
    <row r="110" spans="12:19" ht="15.75" thickTop="1" x14ac:dyDescent="0.25">
      <c r="L110" s="98">
        <v>45951</v>
      </c>
      <c r="M110" s="97">
        <v>1</v>
      </c>
      <c r="N110" s="97">
        <v>1</v>
      </c>
      <c r="O110" s="99">
        <v>2529413501</v>
      </c>
      <c r="P110" s="99" t="s">
        <v>47</v>
      </c>
      <c r="Q110" s="99">
        <v>1000</v>
      </c>
      <c r="R110" s="104">
        <v>1015</v>
      </c>
      <c r="S110" s="105" t="s">
        <v>0</v>
      </c>
    </row>
    <row r="111" spans="12:19" x14ac:dyDescent="0.25">
      <c r="L111" s="94">
        <v>45951</v>
      </c>
      <c r="M111" s="86">
        <v>1</v>
      </c>
      <c r="N111" s="86">
        <v>2</v>
      </c>
      <c r="O111" s="100">
        <v>2529413501</v>
      </c>
      <c r="P111" s="100" t="s">
        <v>47</v>
      </c>
      <c r="Q111" s="100">
        <v>1000</v>
      </c>
      <c r="R111" s="106">
        <v>1013</v>
      </c>
      <c r="S111" s="72" t="s">
        <v>0</v>
      </c>
    </row>
    <row r="112" spans="12:19" x14ac:dyDescent="0.25">
      <c r="L112" s="94">
        <v>45951</v>
      </c>
      <c r="M112" s="86">
        <v>1</v>
      </c>
      <c r="N112" s="86">
        <v>3</v>
      </c>
      <c r="O112" s="100">
        <v>2529413501</v>
      </c>
      <c r="P112" s="100" t="s">
        <v>47</v>
      </c>
      <c r="Q112" s="100">
        <v>1000</v>
      </c>
      <c r="R112" s="106">
        <v>1020</v>
      </c>
      <c r="S112" s="72" t="s">
        <v>0</v>
      </c>
    </row>
    <row r="113" spans="12:19" x14ac:dyDescent="0.25">
      <c r="L113" s="94">
        <v>45951</v>
      </c>
      <c r="M113" s="86">
        <v>1</v>
      </c>
      <c r="N113" s="86">
        <v>4</v>
      </c>
      <c r="O113" s="100">
        <v>2529413501</v>
      </c>
      <c r="P113" s="100" t="s">
        <v>47</v>
      </c>
      <c r="Q113" s="100">
        <v>1000</v>
      </c>
      <c r="R113" s="106">
        <v>1025</v>
      </c>
      <c r="S113" s="72" t="s">
        <v>0</v>
      </c>
    </row>
    <row r="114" spans="12:19" x14ac:dyDescent="0.25">
      <c r="L114" s="94">
        <v>45951</v>
      </c>
      <c r="M114" s="86">
        <v>1</v>
      </c>
      <c r="N114" s="86">
        <v>5</v>
      </c>
      <c r="O114" s="100">
        <v>2529413501</v>
      </c>
      <c r="P114" s="100" t="s">
        <v>47</v>
      </c>
      <c r="Q114" s="100">
        <v>1000</v>
      </c>
      <c r="R114" s="106">
        <v>1025</v>
      </c>
      <c r="S114" s="72" t="s">
        <v>0</v>
      </c>
    </row>
    <row r="115" spans="12:19" x14ac:dyDescent="0.25">
      <c r="L115" s="94">
        <v>45951</v>
      </c>
      <c r="M115" s="86">
        <v>1</v>
      </c>
      <c r="N115" s="86">
        <v>6</v>
      </c>
      <c r="O115" s="100">
        <v>2529413501</v>
      </c>
      <c r="P115" s="100" t="s">
        <v>47</v>
      </c>
      <c r="Q115" s="100">
        <v>1000</v>
      </c>
      <c r="R115" s="106">
        <v>1005</v>
      </c>
      <c r="S115" s="72" t="s">
        <v>0</v>
      </c>
    </row>
    <row r="116" spans="12:19" x14ac:dyDescent="0.25">
      <c r="L116" s="94">
        <v>45951</v>
      </c>
      <c r="M116" s="86">
        <v>1</v>
      </c>
      <c r="N116" s="86">
        <v>7</v>
      </c>
      <c r="O116" s="100">
        <v>2529413501</v>
      </c>
      <c r="P116" s="100" t="s">
        <v>47</v>
      </c>
      <c r="Q116" s="100">
        <v>1000</v>
      </c>
      <c r="R116" s="106">
        <v>996</v>
      </c>
      <c r="S116" s="72" t="s">
        <v>0</v>
      </c>
    </row>
    <row r="117" spans="12:19" x14ac:dyDescent="0.25">
      <c r="L117" s="94">
        <v>45952</v>
      </c>
      <c r="M117" s="86">
        <v>1</v>
      </c>
      <c r="N117" s="86">
        <v>8</v>
      </c>
      <c r="O117" s="100">
        <v>2529413501</v>
      </c>
      <c r="P117" s="100" t="s">
        <v>47</v>
      </c>
      <c r="Q117" s="100">
        <v>1000</v>
      </c>
      <c r="R117" s="106">
        <v>1017</v>
      </c>
      <c r="S117" s="72" t="s">
        <v>0</v>
      </c>
    </row>
    <row r="118" spans="12:19" x14ac:dyDescent="0.25">
      <c r="L118" s="94">
        <v>45952</v>
      </c>
      <c r="M118" s="86">
        <v>1</v>
      </c>
      <c r="N118" s="86">
        <v>9</v>
      </c>
      <c r="O118" s="100">
        <v>2529413501</v>
      </c>
      <c r="P118" s="100" t="s">
        <v>47</v>
      </c>
      <c r="Q118" s="100">
        <v>1000</v>
      </c>
      <c r="R118" s="106">
        <v>1012</v>
      </c>
      <c r="S118" s="72" t="s">
        <v>0</v>
      </c>
    </row>
    <row r="119" spans="12:19" x14ac:dyDescent="0.25">
      <c r="L119" s="94">
        <v>45952</v>
      </c>
      <c r="M119" s="86">
        <v>1</v>
      </c>
      <c r="N119" s="86">
        <v>10</v>
      </c>
      <c r="O119" s="100">
        <v>2529413501</v>
      </c>
      <c r="P119" s="100" t="s">
        <v>47</v>
      </c>
      <c r="Q119" s="100">
        <v>1000</v>
      </c>
      <c r="R119" s="106">
        <v>1026</v>
      </c>
      <c r="S119" s="72" t="s">
        <v>0</v>
      </c>
    </row>
    <row r="120" spans="12:19" x14ac:dyDescent="0.25">
      <c r="L120" s="94">
        <v>45952</v>
      </c>
      <c r="M120" s="86">
        <v>1</v>
      </c>
      <c r="N120" s="86">
        <v>11</v>
      </c>
      <c r="O120" s="100">
        <v>2529413501</v>
      </c>
      <c r="P120" s="100" t="s">
        <v>47</v>
      </c>
      <c r="Q120" s="100">
        <v>1000</v>
      </c>
      <c r="R120" s="106">
        <v>1016</v>
      </c>
      <c r="S120" s="72" t="s">
        <v>0</v>
      </c>
    </row>
    <row r="121" spans="12:19" x14ac:dyDescent="0.25">
      <c r="L121" s="94">
        <v>45953</v>
      </c>
      <c r="M121" s="86">
        <v>1</v>
      </c>
      <c r="N121" s="86">
        <v>12</v>
      </c>
      <c r="O121" s="100">
        <v>2529413501</v>
      </c>
      <c r="P121" s="100" t="s">
        <v>47</v>
      </c>
      <c r="Q121" s="100">
        <v>1000</v>
      </c>
      <c r="R121" s="106">
        <v>1026</v>
      </c>
      <c r="S121" s="72" t="s">
        <v>0</v>
      </c>
    </row>
    <row r="122" spans="12:19" x14ac:dyDescent="0.25">
      <c r="L122" s="94">
        <v>45953</v>
      </c>
      <c r="M122" s="86">
        <v>1</v>
      </c>
      <c r="N122" s="86">
        <v>13</v>
      </c>
      <c r="O122" s="100">
        <v>2529413501</v>
      </c>
      <c r="P122" s="100" t="s">
        <v>47</v>
      </c>
      <c r="Q122" s="100">
        <v>1000</v>
      </c>
      <c r="R122" s="106">
        <v>1013</v>
      </c>
      <c r="S122" s="72" t="s">
        <v>0</v>
      </c>
    </row>
    <row r="123" spans="12:19" x14ac:dyDescent="0.25">
      <c r="L123" s="94">
        <v>45953</v>
      </c>
      <c r="M123" s="86">
        <v>1</v>
      </c>
      <c r="N123" s="86">
        <v>14</v>
      </c>
      <c r="O123" s="100">
        <v>2529413501</v>
      </c>
      <c r="P123" s="100" t="s">
        <v>47</v>
      </c>
      <c r="Q123" s="100">
        <v>1000</v>
      </c>
      <c r="R123" s="106">
        <v>1014</v>
      </c>
      <c r="S123" s="72" t="s">
        <v>0</v>
      </c>
    </row>
    <row r="124" spans="12:19" x14ac:dyDescent="0.25">
      <c r="L124" s="94">
        <v>45953</v>
      </c>
      <c r="M124" s="86">
        <v>1</v>
      </c>
      <c r="N124" s="86">
        <v>15</v>
      </c>
      <c r="O124" s="100">
        <v>2529413501</v>
      </c>
      <c r="P124" s="100" t="s">
        <v>47</v>
      </c>
      <c r="Q124" s="100">
        <v>1000</v>
      </c>
      <c r="R124" s="106">
        <v>1025</v>
      </c>
      <c r="S124" s="72" t="s">
        <v>0</v>
      </c>
    </row>
    <row r="125" spans="12:19" x14ac:dyDescent="0.25">
      <c r="L125" s="94">
        <v>45953</v>
      </c>
      <c r="M125" s="86">
        <v>1</v>
      </c>
      <c r="N125" s="86">
        <v>16</v>
      </c>
      <c r="O125" s="100">
        <v>2529413501</v>
      </c>
      <c r="P125" s="100" t="s">
        <v>47</v>
      </c>
      <c r="Q125" s="100">
        <v>1000</v>
      </c>
      <c r="R125" s="106">
        <v>1023</v>
      </c>
      <c r="S125" s="72" t="s">
        <v>0</v>
      </c>
    </row>
    <row r="126" spans="12:19" x14ac:dyDescent="0.25">
      <c r="L126" s="94">
        <v>45953</v>
      </c>
      <c r="M126" s="86">
        <v>1</v>
      </c>
      <c r="N126" s="86">
        <v>17</v>
      </c>
      <c r="O126" s="100">
        <v>2529413501</v>
      </c>
      <c r="P126" s="100" t="s">
        <v>47</v>
      </c>
      <c r="Q126" s="100">
        <v>1000</v>
      </c>
      <c r="R126" s="106">
        <v>1027</v>
      </c>
      <c r="S126" s="72" t="s">
        <v>0</v>
      </c>
    </row>
    <row r="127" spans="12:19" x14ac:dyDescent="0.25">
      <c r="L127" s="94">
        <v>45953</v>
      </c>
      <c r="M127" s="86">
        <v>1</v>
      </c>
      <c r="N127" s="86">
        <v>18</v>
      </c>
      <c r="O127" s="100">
        <v>2529413501</v>
      </c>
      <c r="P127" s="100" t="s">
        <v>47</v>
      </c>
      <c r="Q127" s="100">
        <v>1000</v>
      </c>
      <c r="R127" s="106">
        <v>1010</v>
      </c>
      <c r="S127" s="72" t="s">
        <v>0</v>
      </c>
    </row>
    <row r="128" spans="12:19" x14ac:dyDescent="0.25">
      <c r="L128" s="94">
        <v>45953</v>
      </c>
      <c r="M128" s="86">
        <v>1</v>
      </c>
      <c r="N128" s="86">
        <v>19</v>
      </c>
      <c r="O128" s="100">
        <v>2529413501</v>
      </c>
      <c r="P128" s="100" t="s">
        <v>47</v>
      </c>
      <c r="Q128" s="100">
        <v>1000</v>
      </c>
      <c r="R128" s="106">
        <v>1014</v>
      </c>
      <c r="S128" s="72" t="s">
        <v>0</v>
      </c>
    </row>
    <row r="129" spans="12:19" ht="15.75" thickBot="1" x14ac:dyDescent="0.3">
      <c r="L129" s="95">
        <v>45953</v>
      </c>
      <c r="M129" s="96">
        <v>1</v>
      </c>
      <c r="N129" s="96">
        <v>20</v>
      </c>
      <c r="O129" s="101">
        <v>2529413501</v>
      </c>
      <c r="P129" s="101" t="s">
        <v>47</v>
      </c>
      <c r="Q129" s="101">
        <v>1000</v>
      </c>
      <c r="R129" s="107">
        <v>1012</v>
      </c>
      <c r="S129" s="108" t="s">
        <v>0</v>
      </c>
    </row>
    <row r="130" spans="12:19" ht="15.75" thickTop="1" x14ac:dyDescent="0.25">
      <c r="L130" s="98">
        <v>45954</v>
      </c>
      <c r="M130" s="97">
        <v>1</v>
      </c>
      <c r="N130" s="97">
        <v>1</v>
      </c>
      <c r="O130" s="99">
        <v>2529713501</v>
      </c>
      <c r="P130" s="99" t="s">
        <v>47</v>
      </c>
      <c r="Q130" s="99">
        <v>1000</v>
      </c>
      <c r="R130" s="104">
        <v>1033</v>
      </c>
      <c r="S130" s="105" t="s">
        <v>0</v>
      </c>
    </row>
    <row r="131" spans="12:19" x14ac:dyDescent="0.25">
      <c r="L131" s="94">
        <v>45954</v>
      </c>
      <c r="M131" s="86">
        <v>1</v>
      </c>
      <c r="N131" s="86">
        <v>2</v>
      </c>
      <c r="O131" s="100">
        <v>2529713501</v>
      </c>
      <c r="P131" s="100" t="s">
        <v>47</v>
      </c>
      <c r="Q131" s="100">
        <v>1000</v>
      </c>
      <c r="R131" s="106">
        <v>1021</v>
      </c>
      <c r="S131" s="72" t="s">
        <v>0</v>
      </c>
    </row>
    <row r="132" spans="12:19" x14ac:dyDescent="0.25">
      <c r="L132" s="94">
        <v>45954</v>
      </c>
      <c r="M132" s="86">
        <v>1</v>
      </c>
      <c r="N132" s="86">
        <v>3</v>
      </c>
      <c r="O132" s="100">
        <v>2529713501</v>
      </c>
      <c r="P132" s="100" t="s">
        <v>47</v>
      </c>
      <c r="Q132" s="100">
        <v>1000</v>
      </c>
      <c r="R132" s="106">
        <v>997</v>
      </c>
      <c r="S132" s="72" t="s">
        <v>0</v>
      </c>
    </row>
    <row r="133" spans="12:19" x14ac:dyDescent="0.25">
      <c r="L133" s="94">
        <v>45954</v>
      </c>
      <c r="M133" s="86">
        <v>1</v>
      </c>
      <c r="N133" s="86">
        <v>4</v>
      </c>
      <c r="O133" s="100">
        <v>2529713501</v>
      </c>
      <c r="P133" s="100" t="s">
        <v>47</v>
      </c>
      <c r="Q133" s="100">
        <v>1000</v>
      </c>
      <c r="R133" s="106">
        <v>1000</v>
      </c>
      <c r="S133" s="72" t="s">
        <v>0</v>
      </c>
    </row>
    <row r="134" spans="12:19" x14ac:dyDescent="0.25">
      <c r="L134" s="94">
        <v>45954</v>
      </c>
      <c r="M134" s="86">
        <v>1</v>
      </c>
      <c r="N134" s="86">
        <v>5</v>
      </c>
      <c r="O134" s="100">
        <v>2529713501</v>
      </c>
      <c r="P134" s="100" t="s">
        <v>47</v>
      </c>
      <c r="Q134" s="100">
        <v>1000</v>
      </c>
      <c r="R134" s="106">
        <v>1000</v>
      </c>
      <c r="S134" s="72" t="s">
        <v>0</v>
      </c>
    </row>
    <row r="135" spans="12:19" x14ac:dyDescent="0.25">
      <c r="L135" s="94">
        <v>45954</v>
      </c>
      <c r="M135" s="86">
        <v>1</v>
      </c>
      <c r="N135" s="86">
        <v>6</v>
      </c>
      <c r="O135" s="100">
        <v>2529713501</v>
      </c>
      <c r="P135" s="100" t="s">
        <v>47</v>
      </c>
      <c r="Q135" s="100">
        <v>1000</v>
      </c>
      <c r="R135" s="106">
        <v>1015</v>
      </c>
      <c r="S135" s="72" t="s">
        <v>0</v>
      </c>
    </row>
    <row r="136" spans="12:19" x14ac:dyDescent="0.25">
      <c r="L136" s="94">
        <v>45954</v>
      </c>
      <c r="M136" s="86">
        <v>1</v>
      </c>
      <c r="N136" s="86">
        <v>7</v>
      </c>
      <c r="O136" s="100">
        <v>2529713501</v>
      </c>
      <c r="P136" s="100" t="s">
        <v>47</v>
      </c>
      <c r="Q136" s="100">
        <v>1000</v>
      </c>
      <c r="R136" s="106">
        <v>1025</v>
      </c>
      <c r="S136" s="72" t="s">
        <v>0</v>
      </c>
    </row>
    <row r="137" spans="12:19" x14ac:dyDescent="0.25">
      <c r="L137" s="94">
        <v>45954</v>
      </c>
      <c r="M137" s="86">
        <v>1</v>
      </c>
      <c r="N137" s="86">
        <v>8</v>
      </c>
      <c r="O137" s="100">
        <v>2529713501</v>
      </c>
      <c r="P137" s="100" t="s">
        <v>47</v>
      </c>
      <c r="Q137" s="100">
        <v>1000</v>
      </c>
      <c r="R137" s="106">
        <v>999</v>
      </c>
      <c r="S137" s="72" t="s">
        <v>0</v>
      </c>
    </row>
    <row r="138" spans="12:19" x14ac:dyDescent="0.25">
      <c r="L138" s="94">
        <v>45954</v>
      </c>
      <c r="M138" s="86">
        <v>1</v>
      </c>
      <c r="N138" s="86">
        <v>9</v>
      </c>
      <c r="O138" s="100">
        <v>2529713501</v>
      </c>
      <c r="P138" s="100" t="s">
        <v>47</v>
      </c>
      <c r="Q138" s="100">
        <v>1000</v>
      </c>
      <c r="R138" s="106">
        <v>1021</v>
      </c>
      <c r="S138" s="72" t="s">
        <v>0</v>
      </c>
    </row>
    <row r="139" spans="12:19" x14ac:dyDescent="0.25">
      <c r="L139" s="94">
        <v>45954</v>
      </c>
      <c r="M139" s="86">
        <v>1</v>
      </c>
      <c r="N139" s="86">
        <v>10</v>
      </c>
      <c r="O139" s="100">
        <v>2529713501</v>
      </c>
      <c r="P139" s="100" t="s">
        <v>47</v>
      </c>
      <c r="Q139" s="100">
        <v>1000</v>
      </c>
      <c r="R139" s="106">
        <v>1005</v>
      </c>
      <c r="S139" s="72" t="s">
        <v>0</v>
      </c>
    </row>
    <row r="140" spans="12:19" x14ac:dyDescent="0.25">
      <c r="L140" s="94">
        <v>45959</v>
      </c>
      <c r="M140" s="86">
        <v>1</v>
      </c>
      <c r="N140" s="86">
        <v>11</v>
      </c>
      <c r="O140" s="100">
        <v>2529713501</v>
      </c>
      <c r="P140" s="100" t="s">
        <v>47</v>
      </c>
      <c r="Q140" s="100">
        <v>1000</v>
      </c>
      <c r="R140" s="106">
        <v>1012</v>
      </c>
      <c r="S140" s="72" t="s">
        <v>0</v>
      </c>
    </row>
    <row r="141" spans="12:19" x14ac:dyDescent="0.25">
      <c r="L141" s="94">
        <v>45959</v>
      </c>
      <c r="M141" s="86">
        <v>1</v>
      </c>
      <c r="N141" s="86">
        <v>12</v>
      </c>
      <c r="O141" s="100">
        <v>2529713501</v>
      </c>
      <c r="P141" s="100" t="s">
        <v>47</v>
      </c>
      <c r="Q141" s="100">
        <v>1000</v>
      </c>
      <c r="R141" s="106">
        <v>1023</v>
      </c>
      <c r="S141" s="72" t="s">
        <v>0</v>
      </c>
    </row>
    <row r="142" spans="12:19" x14ac:dyDescent="0.25">
      <c r="L142" s="94">
        <v>45959</v>
      </c>
      <c r="M142" s="86">
        <v>1</v>
      </c>
      <c r="N142" s="86">
        <v>13</v>
      </c>
      <c r="O142" s="100">
        <v>2529713501</v>
      </c>
      <c r="P142" s="100" t="s">
        <v>47</v>
      </c>
      <c r="Q142" s="100">
        <v>1000</v>
      </c>
      <c r="R142" s="106">
        <v>1010</v>
      </c>
      <c r="S142" s="72" t="s">
        <v>0</v>
      </c>
    </row>
    <row r="143" spans="12:19" x14ac:dyDescent="0.25">
      <c r="L143" s="94">
        <v>45959</v>
      </c>
      <c r="M143" s="86">
        <v>1</v>
      </c>
      <c r="N143" s="86">
        <v>14</v>
      </c>
      <c r="O143" s="100">
        <v>2529713501</v>
      </c>
      <c r="P143" s="100" t="s">
        <v>47</v>
      </c>
      <c r="Q143" s="100">
        <v>1000</v>
      </c>
      <c r="R143" s="106">
        <v>1005</v>
      </c>
      <c r="S143" s="72" t="s">
        <v>0</v>
      </c>
    </row>
    <row r="144" spans="12:19" x14ac:dyDescent="0.25">
      <c r="L144" s="94">
        <v>45959</v>
      </c>
      <c r="M144" s="86">
        <v>1</v>
      </c>
      <c r="N144" s="86">
        <v>15</v>
      </c>
      <c r="O144" s="100">
        <v>2529713501</v>
      </c>
      <c r="P144" s="100" t="s">
        <v>47</v>
      </c>
      <c r="Q144" s="100">
        <v>1000</v>
      </c>
      <c r="R144" s="106">
        <v>1005</v>
      </c>
      <c r="S144" s="72" t="s">
        <v>0</v>
      </c>
    </row>
    <row r="145" spans="12:19" x14ac:dyDescent="0.25">
      <c r="L145" s="94">
        <v>45959</v>
      </c>
      <c r="M145" s="86">
        <v>1</v>
      </c>
      <c r="N145" s="86">
        <v>16</v>
      </c>
      <c r="O145" s="100">
        <v>2529713501</v>
      </c>
      <c r="P145" s="100" t="s">
        <v>47</v>
      </c>
      <c r="Q145" s="100">
        <v>1000</v>
      </c>
      <c r="R145" s="106">
        <v>1015</v>
      </c>
      <c r="S145" s="72" t="s">
        <v>0</v>
      </c>
    </row>
    <row r="146" spans="12:19" x14ac:dyDescent="0.25">
      <c r="L146" s="94">
        <v>45959</v>
      </c>
      <c r="M146" s="86">
        <v>1</v>
      </c>
      <c r="N146" s="86">
        <v>17</v>
      </c>
      <c r="O146" s="100">
        <v>2529713501</v>
      </c>
      <c r="P146" s="100" t="s">
        <v>47</v>
      </c>
      <c r="Q146" s="100">
        <v>1000</v>
      </c>
      <c r="R146" s="106">
        <v>990</v>
      </c>
      <c r="S146" s="72" t="s">
        <v>0</v>
      </c>
    </row>
    <row r="147" spans="12:19" x14ac:dyDescent="0.25">
      <c r="L147" s="94">
        <v>45959</v>
      </c>
      <c r="M147" s="86">
        <v>1</v>
      </c>
      <c r="N147" s="86">
        <v>18</v>
      </c>
      <c r="O147" s="100">
        <v>2529713501</v>
      </c>
      <c r="P147" s="100" t="s">
        <v>47</v>
      </c>
      <c r="Q147" s="100">
        <v>1000</v>
      </c>
      <c r="R147" s="106">
        <v>1016</v>
      </c>
      <c r="S147" s="72" t="s">
        <v>0</v>
      </c>
    </row>
    <row r="148" spans="12:19" x14ac:dyDescent="0.25">
      <c r="L148" s="94">
        <v>45959</v>
      </c>
      <c r="M148" s="86">
        <v>1</v>
      </c>
      <c r="N148" s="86">
        <v>19</v>
      </c>
      <c r="O148" s="100">
        <v>2529713501</v>
      </c>
      <c r="P148" s="100" t="s">
        <v>47</v>
      </c>
      <c r="Q148" s="100">
        <v>1000</v>
      </c>
      <c r="R148" s="106">
        <v>1011</v>
      </c>
      <c r="S148" s="72" t="s">
        <v>0</v>
      </c>
    </row>
    <row r="149" spans="12:19" ht="15.75" thickBot="1" x14ac:dyDescent="0.3">
      <c r="L149" s="95">
        <v>45959</v>
      </c>
      <c r="M149" s="96">
        <v>1</v>
      </c>
      <c r="N149" s="96">
        <v>20</v>
      </c>
      <c r="O149" s="101">
        <v>2529713501</v>
      </c>
      <c r="P149" s="101" t="s">
        <v>47</v>
      </c>
      <c r="Q149" s="101">
        <v>1000</v>
      </c>
      <c r="R149" s="107">
        <v>1016</v>
      </c>
      <c r="S149" s="108" t="s">
        <v>0</v>
      </c>
    </row>
    <row r="150" spans="12:19" ht="15.75" thickTop="1" x14ac:dyDescent="0.25">
      <c r="L150" s="98">
        <v>45959</v>
      </c>
      <c r="M150" s="97">
        <v>1</v>
      </c>
      <c r="N150" s="97">
        <v>1</v>
      </c>
      <c r="O150" s="99">
        <v>2530213501</v>
      </c>
      <c r="P150" s="99" t="s">
        <v>47</v>
      </c>
      <c r="Q150" s="99">
        <v>1000</v>
      </c>
      <c r="R150" s="104">
        <v>1013</v>
      </c>
      <c r="S150" s="105" t="s">
        <v>0</v>
      </c>
    </row>
    <row r="151" spans="12:19" x14ac:dyDescent="0.25">
      <c r="L151" s="94">
        <v>45960</v>
      </c>
      <c r="M151" s="86">
        <v>1</v>
      </c>
      <c r="N151" s="86">
        <v>2</v>
      </c>
      <c r="O151" s="100">
        <v>2530213501</v>
      </c>
      <c r="P151" s="100" t="s">
        <v>47</v>
      </c>
      <c r="Q151" s="100">
        <v>1000</v>
      </c>
      <c r="R151" s="106">
        <v>1017</v>
      </c>
      <c r="S151" s="72" t="s">
        <v>0</v>
      </c>
    </row>
    <row r="152" spans="12:19" x14ac:dyDescent="0.25">
      <c r="L152" s="94">
        <v>45960</v>
      </c>
      <c r="M152" s="86">
        <v>1</v>
      </c>
      <c r="N152" s="86">
        <v>3</v>
      </c>
      <c r="O152" s="100">
        <v>2530213501</v>
      </c>
      <c r="P152" s="100" t="s">
        <v>47</v>
      </c>
      <c r="Q152" s="100">
        <v>1000</v>
      </c>
      <c r="R152" s="106">
        <v>1013</v>
      </c>
      <c r="S152" s="72" t="s">
        <v>0</v>
      </c>
    </row>
    <row r="153" spans="12:19" x14ac:dyDescent="0.25">
      <c r="L153" s="94">
        <v>45960</v>
      </c>
      <c r="M153" s="86">
        <v>1</v>
      </c>
      <c r="N153" s="86">
        <v>4</v>
      </c>
      <c r="O153" s="100">
        <v>2530213501</v>
      </c>
      <c r="P153" s="100" t="s">
        <v>47</v>
      </c>
      <c r="Q153" s="100">
        <v>1000</v>
      </c>
      <c r="R153" s="106">
        <v>1016</v>
      </c>
      <c r="S153" s="72" t="s">
        <v>0</v>
      </c>
    </row>
    <row r="154" spans="12:19" x14ac:dyDescent="0.25">
      <c r="L154" s="94">
        <v>45960</v>
      </c>
      <c r="M154" s="86">
        <v>1</v>
      </c>
      <c r="N154" s="86">
        <v>5</v>
      </c>
      <c r="O154" s="100">
        <v>2530213501</v>
      </c>
      <c r="P154" s="100" t="s">
        <v>47</v>
      </c>
      <c r="Q154" s="100">
        <v>1000</v>
      </c>
      <c r="R154" s="106">
        <v>1015</v>
      </c>
      <c r="S154" s="72" t="s">
        <v>0</v>
      </c>
    </row>
    <row r="155" spans="12:19" x14ac:dyDescent="0.25">
      <c r="L155" s="94">
        <v>45960</v>
      </c>
      <c r="M155" s="86">
        <v>1</v>
      </c>
      <c r="N155" s="86">
        <v>6</v>
      </c>
      <c r="O155" s="100">
        <v>2530213501</v>
      </c>
      <c r="P155" s="100" t="s">
        <v>47</v>
      </c>
      <c r="Q155" s="100">
        <v>1000</v>
      </c>
      <c r="R155" s="106">
        <v>1015</v>
      </c>
      <c r="S155" s="72" t="s">
        <v>0</v>
      </c>
    </row>
    <row r="156" spans="12:19" x14ac:dyDescent="0.25">
      <c r="L156" s="94">
        <v>45960</v>
      </c>
      <c r="M156" s="86">
        <v>1</v>
      </c>
      <c r="N156" s="86">
        <v>7</v>
      </c>
      <c r="O156" s="100">
        <v>2530213501</v>
      </c>
      <c r="P156" s="100" t="s">
        <v>47</v>
      </c>
      <c r="Q156" s="100">
        <v>1000</v>
      </c>
      <c r="R156" s="106">
        <v>1018</v>
      </c>
      <c r="S156" s="72" t="s">
        <v>0</v>
      </c>
    </row>
    <row r="157" spans="12:19" x14ac:dyDescent="0.25">
      <c r="L157" s="94">
        <v>45960</v>
      </c>
      <c r="M157" s="86">
        <v>1</v>
      </c>
      <c r="N157" s="86">
        <v>8</v>
      </c>
      <c r="O157" s="100">
        <v>2530213501</v>
      </c>
      <c r="P157" s="100" t="s">
        <v>47</v>
      </c>
      <c r="Q157" s="100">
        <v>1000</v>
      </c>
      <c r="R157" s="106">
        <v>1020</v>
      </c>
      <c r="S157" s="72" t="s">
        <v>0</v>
      </c>
    </row>
    <row r="158" spans="12:19" x14ac:dyDescent="0.25">
      <c r="L158" s="94">
        <v>45960</v>
      </c>
      <c r="M158" s="86">
        <v>1</v>
      </c>
      <c r="N158" s="86">
        <v>9</v>
      </c>
      <c r="O158" s="100">
        <v>2530213501</v>
      </c>
      <c r="P158" s="100" t="s">
        <v>47</v>
      </c>
      <c r="Q158" s="100">
        <v>1000</v>
      </c>
      <c r="R158" s="106">
        <v>1014</v>
      </c>
      <c r="S158" s="72" t="s">
        <v>0</v>
      </c>
    </row>
    <row r="159" spans="12:19" x14ac:dyDescent="0.25">
      <c r="L159" s="94">
        <v>45960</v>
      </c>
      <c r="M159" s="86">
        <v>1</v>
      </c>
      <c r="N159" s="86">
        <v>10</v>
      </c>
      <c r="O159" s="100">
        <v>2530213501</v>
      </c>
      <c r="P159" s="100" t="s">
        <v>47</v>
      </c>
      <c r="Q159" s="100">
        <v>1000</v>
      </c>
      <c r="R159" s="106">
        <v>1019</v>
      </c>
      <c r="S159" s="72" t="s">
        <v>0</v>
      </c>
    </row>
    <row r="160" spans="12:19" x14ac:dyDescent="0.25">
      <c r="L160" s="94">
        <v>45960</v>
      </c>
      <c r="M160" s="86">
        <v>1</v>
      </c>
      <c r="N160" s="86">
        <v>11</v>
      </c>
      <c r="O160" s="100">
        <v>2530213501</v>
      </c>
      <c r="P160" s="100" t="s">
        <v>47</v>
      </c>
      <c r="Q160" s="100">
        <v>1000</v>
      </c>
      <c r="R160" s="106">
        <v>1016</v>
      </c>
      <c r="S160" s="72" t="s">
        <v>0</v>
      </c>
    </row>
    <row r="161" spans="12:19" x14ac:dyDescent="0.25">
      <c r="L161" s="94">
        <v>45960</v>
      </c>
      <c r="M161" s="86">
        <v>1</v>
      </c>
      <c r="N161" s="86">
        <v>12</v>
      </c>
      <c r="O161" s="100">
        <v>2530213501</v>
      </c>
      <c r="P161" s="100" t="s">
        <v>47</v>
      </c>
      <c r="Q161" s="100">
        <v>1000</v>
      </c>
      <c r="R161" s="106">
        <v>1018</v>
      </c>
      <c r="S161" s="72" t="s">
        <v>0</v>
      </c>
    </row>
    <row r="162" spans="12:19" x14ac:dyDescent="0.25">
      <c r="L162" s="94">
        <v>45960</v>
      </c>
      <c r="M162" s="86">
        <v>1</v>
      </c>
      <c r="N162" s="86">
        <v>13</v>
      </c>
      <c r="O162" s="100">
        <v>2530213501</v>
      </c>
      <c r="P162" s="100" t="s">
        <v>47</v>
      </c>
      <c r="Q162" s="100">
        <v>1000</v>
      </c>
      <c r="R162" s="106">
        <v>1010</v>
      </c>
      <c r="S162" s="72" t="s">
        <v>0</v>
      </c>
    </row>
    <row r="163" spans="12:19" x14ac:dyDescent="0.25">
      <c r="L163" s="94">
        <v>45961</v>
      </c>
      <c r="M163" s="86">
        <v>1</v>
      </c>
      <c r="N163" s="86">
        <v>14</v>
      </c>
      <c r="O163" s="100">
        <v>2530213501</v>
      </c>
      <c r="P163" s="100" t="s">
        <v>47</v>
      </c>
      <c r="Q163" s="100">
        <v>1000</v>
      </c>
      <c r="R163" s="106">
        <v>1016</v>
      </c>
      <c r="S163" s="72" t="s">
        <v>0</v>
      </c>
    </row>
    <row r="164" spans="12:19" x14ac:dyDescent="0.25">
      <c r="L164" s="94">
        <v>45961</v>
      </c>
      <c r="M164" s="86">
        <v>1</v>
      </c>
      <c r="N164" s="86">
        <v>15</v>
      </c>
      <c r="O164" s="100">
        <v>2530213501</v>
      </c>
      <c r="P164" s="100" t="s">
        <v>47</v>
      </c>
      <c r="Q164" s="100">
        <v>1000</v>
      </c>
      <c r="R164" s="106">
        <v>1014</v>
      </c>
      <c r="S164" s="72" t="s">
        <v>0</v>
      </c>
    </row>
    <row r="165" spans="12:19" x14ac:dyDescent="0.25">
      <c r="L165" s="94">
        <v>45961</v>
      </c>
      <c r="M165" s="86">
        <v>1</v>
      </c>
      <c r="N165" s="86">
        <v>16</v>
      </c>
      <c r="O165" s="100">
        <v>2530213501</v>
      </c>
      <c r="P165" s="100" t="s">
        <v>47</v>
      </c>
      <c r="Q165" s="100">
        <v>1000</v>
      </c>
      <c r="R165" s="106">
        <v>1023</v>
      </c>
      <c r="S165" s="72" t="s">
        <v>0</v>
      </c>
    </row>
    <row r="166" spans="12:19" x14ac:dyDescent="0.25">
      <c r="L166" s="109">
        <v>45961</v>
      </c>
      <c r="M166" s="86">
        <v>1</v>
      </c>
      <c r="N166" s="86">
        <v>17</v>
      </c>
      <c r="O166" s="100">
        <v>2530213501</v>
      </c>
      <c r="P166" s="100" t="s">
        <v>47</v>
      </c>
      <c r="Q166" s="100">
        <v>1000</v>
      </c>
      <c r="R166" s="106">
        <v>1022</v>
      </c>
      <c r="S166" s="72" t="s">
        <v>0</v>
      </c>
    </row>
    <row r="167" spans="12:19" x14ac:dyDescent="0.25">
      <c r="L167" s="94">
        <v>45961</v>
      </c>
      <c r="M167" s="86">
        <v>1</v>
      </c>
      <c r="N167" s="86">
        <v>18</v>
      </c>
      <c r="O167" s="100">
        <v>2530213501</v>
      </c>
      <c r="P167" s="100" t="s">
        <v>47</v>
      </c>
      <c r="Q167" s="100">
        <v>1000</v>
      </c>
      <c r="R167" s="106">
        <v>1034</v>
      </c>
      <c r="S167" s="72" t="s">
        <v>0</v>
      </c>
    </row>
    <row r="168" spans="12:19" x14ac:dyDescent="0.25">
      <c r="L168" s="94">
        <v>45961</v>
      </c>
      <c r="M168" s="86">
        <v>1</v>
      </c>
      <c r="N168" s="86">
        <v>19</v>
      </c>
      <c r="O168" s="100">
        <v>2530213501</v>
      </c>
      <c r="P168" s="100" t="s">
        <v>47</v>
      </c>
      <c r="Q168" s="100">
        <v>1000</v>
      </c>
      <c r="R168" s="106">
        <v>1030</v>
      </c>
      <c r="S168" s="72" t="s">
        <v>0</v>
      </c>
    </row>
    <row r="169" spans="12:19" ht="15.75" thickBot="1" x14ac:dyDescent="0.3">
      <c r="L169" s="95">
        <v>45961</v>
      </c>
      <c r="M169" s="96">
        <v>1</v>
      </c>
      <c r="N169" s="96">
        <v>20</v>
      </c>
      <c r="O169" s="101">
        <v>2530213501</v>
      </c>
      <c r="P169" s="101" t="s">
        <v>47</v>
      </c>
      <c r="Q169" s="101">
        <v>1000</v>
      </c>
      <c r="R169" s="107">
        <v>1017</v>
      </c>
      <c r="S169" s="108" t="s">
        <v>0</v>
      </c>
    </row>
    <row r="170" spans="12:19" ht="15.75" thickTop="1" x14ac:dyDescent="0.25">
      <c r="L170" s="98">
        <v>45961</v>
      </c>
      <c r="M170" s="97">
        <v>1</v>
      </c>
      <c r="N170" s="97">
        <v>1</v>
      </c>
      <c r="O170" s="99">
        <v>2530413501</v>
      </c>
      <c r="P170" s="99" t="s">
        <v>47</v>
      </c>
      <c r="Q170" s="99">
        <v>1000</v>
      </c>
      <c r="R170" s="104">
        <v>1028</v>
      </c>
      <c r="S170" s="105" t="s">
        <v>0</v>
      </c>
    </row>
    <row r="171" spans="12:19" x14ac:dyDescent="0.25">
      <c r="L171" s="94">
        <v>45961</v>
      </c>
      <c r="M171" s="86">
        <v>1</v>
      </c>
      <c r="N171" s="86">
        <v>2</v>
      </c>
      <c r="O171" s="100">
        <v>2530413501</v>
      </c>
      <c r="P171" s="100" t="s">
        <v>47</v>
      </c>
      <c r="Q171" s="100">
        <v>1000</v>
      </c>
      <c r="R171" s="106">
        <v>1017</v>
      </c>
      <c r="S171" s="72" t="s">
        <v>0</v>
      </c>
    </row>
    <row r="172" spans="12:19" x14ac:dyDescent="0.25">
      <c r="L172" s="94">
        <v>45961</v>
      </c>
      <c r="M172" s="86">
        <v>1</v>
      </c>
      <c r="N172" s="86">
        <v>3</v>
      </c>
      <c r="O172" s="100">
        <v>2530413501</v>
      </c>
      <c r="P172" s="100" t="s">
        <v>47</v>
      </c>
      <c r="Q172" s="100">
        <v>1000</v>
      </c>
      <c r="R172" s="106">
        <v>1033</v>
      </c>
      <c r="S172" s="72" t="s">
        <v>0</v>
      </c>
    </row>
    <row r="173" spans="12:19" x14ac:dyDescent="0.25">
      <c r="L173" s="94">
        <v>45962</v>
      </c>
      <c r="M173" s="86">
        <v>1</v>
      </c>
      <c r="N173" s="86">
        <v>4</v>
      </c>
      <c r="O173" s="100">
        <v>2530413501</v>
      </c>
      <c r="P173" s="100" t="s">
        <v>47</v>
      </c>
      <c r="Q173" s="100">
        <v>1000</v>
      </c>
      <c r="R173" s="106">
        <v>1011</v>
      </c>
      <c r="S173" s="72" t="s">
        <v>0</v>
      </c>
    </row>
    <row r="174" spans="12:19" x14ac:dyDescent="0.25">
      <c r="L174" s="94">
        <v>45962</v>
      </c>
      <c r="M174" s="86">
        <v>1</v>
      </c>
      <c r="N174" s="86">
        <v>5</v>
      </c>
      <c r="O174" s="100">
        <v>2530413501</v>
      </c>
      <c r="P174" s="100" t="s">
        <v>47</v>
      </c>
      <c r="Q174" s="100">
        <v>1000</v>
      </c>
      <c r="R174" s="106">
        <v>1029</v>
      </c>
      <c r="S174" s="72" t="s">
        <v>0</v>
      </c>
    </row>
    <row r="175" spans="12:19" x14ac:dyDescent="0.25">
      <c r="L175" s="94">
        <v>45962</v>
      </c>
      <c r="M175" s="86">
        <v>1</v>
      </c>
      <c r="N175" s="86">
        <v>6</v>
      </c>
      <c r="O175" s="100">
        <v>2530413501</v>
      </c>
      <c r="P175" s="100" t="s">
        <v>47</v>
      </c>
      <c r="Q175" s="100">
        <v>1000</v>
      </c>
      <c r="R175" s="106">
        <v>1028</v>
      </c>
      <c r="S175" s="72" t="s">
        <v>0</v>
      </c>
    </row>
    <row r="176" spans="12:19" x14ac:dyDescent="0.25">
      <c r="L176" s="94">
        <v>45962</v>
      </c>
      <c r="M176" s="86">
        <v>1</v>
      </c>
      <c r="N176" s="86">
        <v>7</v>
      </c>
      <c r="O176" s="100">
        <v>2530413501</v>
      </c>
      <c r="P176" s="100" t="s">
        <v>47</v>
      </c>
      <c r="Q176" s="100">
        <v>1000</v>
      </c>
      <c r="R176" s="106">
        <v>1036</v>
      </c>
      <c r="S176" s="72" t="s">
        <v>0</v>
      </c>
    </row>
    <row r="177" spans="12:19" x14ac:dyDescent="0.25">
      <c r="L177" s="94">
        <v>45962</v>
      </c>
      <c r="M177" s="86">
        <v>1</v>
      </c>
      <c r="N177" s="86">
        <v>8</v>
      </c>
      <c r="O177" s="100">
        <v>2530413501</v>
      </c>
      <c r="P177" s="100" t="s">
        <v>47</v>
      </c>
      <c r="Q177" s="100">
        <v>1000</v>
      </c>
      <c r="R177" s="106">
        <v>1021</v>
      </c>
      <c r="S177" s="72" t="s">
        <v>0</v>
      </c>
    </row>
    <row r="178" spans="12:19" x14ac:dyDescent="0.25">
      <c r="L178" s="94">
        <v>45962</v>
      </c>
      <c r="M178" s="86">
        <v>1</v>
      </c>
      <c r="N178" s="86">
        <v>9</v>
      </c>
      <c r="O178" s="100">
        <v>2530413501</v>
      </c>
      <c r="P178" s="100" t="s">
        <v>47</v>
      </c>
      <c r="Q178" s="100">
        <v>1000</v>
      </c>
      <c r="R178" s="106">
        <v>1023</v>
      </c>
      <c r="S178" s="72" t="s">
        <v>0</v>
      </c>
    </row>
    <row r="179" spans="12:19" x14ac:dyDescent="0.25">
      <c r="L179" s="94">
        <v>45962</v>
      </c>
      <c r="M179" s="86">
        <v>1</v>
      </c>
      <c r="N179" s="86">
        <v>10</v>
      </c>
      <c r="O179" s="100">
        <v>2530413501</v>
      </c>
      <c r="P179" s="100" t="s">
        <v>47</v>
      </c>
      <c r="Q179" s="100">
        <v>1000</v>
      </c>
      <c r="R179" s="106">
        <v>1020</v>
      </c>
      <c r="S179" s="72" t="s">
        <v>0</v>
      </c>
    </row>
    <row r="180" spans="12:19" x14ac:dyDescent="0.25">
      <c r="L180" s="94">
        <v>45962</v>
      </c>
      <c r="M180" s="86">
        <v>1</v>
      </c>
      <c r="N180" s="86">
        <v>11</v>
      </c>
      <c r="O180" s="100">
        <v>2530413501</v>
      </c>
      <c r="P180" s="100" t="s">
        <v>47</v>
      </c>
      <c r="Q180" s="100">
        <v>1000</v>
      </c>
      <c r="R180" s="106">
        <v>1020</v>
      </c>
      <c r="S180" s="72" t="s">
        <v>0</v>
      </c>
    </row>
    <row r="181" spans="12:19" x14ac:dyDescent="0.25">
      <c r="L181" s="94">
        <v>45962</v>
      </c>
      <c r="M181" s="86">
        <v>1</v>
      </c>
      <c r="N181" s="86">
        <v>12</v>
      </c>
      <c r="O181" s="100">
        <v>2530413501</v>
      </c>
      <c r="P181" s="100" t="s">
        <v>47</v>
      </c>
      <c r="Q181" s="100">
        <v>1000</v>
      </c>
      <c r="R181" s="106">
        <v>1027</v>
      </c>
      <c r="S181" s="72" t="s">
        <v>0</v>
      </c>
    </row>
    <row r="182" spans="12:19" x14ac:dyDescent="0.25">
      <c r="L182" s="94">
        <v>45962</v>
      </c>
      <c r="M182" s="86">
        <v>1</v>
      </c>
      <c r="N182" s="86">
        <v>13</v>
      </c>
      <c r="O182" s="100">
        <v>2530413501</v>
      </c>
      <c r="P182" s="100" t="s">
        <v>47</v>
      </c>
      <c r="Q182" s="100">
        <v>1000</v>
      </c>
      <c r="R182" s="106">
        <v>1018</v>
      </c>
      <c r="S182" s="72" t="s">
        <v>0</v>
      </c>
    </row>
    <row r="183" spans="12:19" x14ac:dyDescent="0.25">
      <c r="L183" s="94">
        <v>45963</v>
      </c>
      <c r="M183" s="86">
        <v>1</v>
      </c>
      <c r="N183" s="86">
        <v>14</v>
      </c>
      <c r="O183" s="100">
        <v>2530413501</v>
      </c>
      <c r="P183" s="100" t="s">
        <v>47</v>
      </c>
      <c r="Q183" s="100">
        <v>1000</v>
      </c>
      <c r="R183" s="106">
        <v>1026</v>
      </c>
      <c r="S183" s="72" t="s">
        <v>0</v>
      </c>
    </row>
    <row r="184" spans="12:19" x14ac:dyDescent="0.25">
      <c r="L184" s="94">
        <v>45963</v>
      </c>
      <c r="M184" s="86">
        <v>1</v>
      </c>
      <c r="N184" s="86">
        <v>15</v>
      </c>
      <c r="O184" s="100">
        <v>2530413501</v>
      </c>
      <c r="P184" s="100" t="s">
        <v>47</v>
      </c>
      <c r="Q184" s="100">
        <v>1000</v>
      </c>
      <c r="R184" s="106">
        <v>1028</v>
      </c>
      <c r="S184" s="72" t="s">
        <v>0</v>
      </c>
    </row>
    <row r="185" spans="12:19" x14ac:dyDescent="0.25">
      <c r="L185" s="94">
        <v>45963</v>
      </c>
      <c r="M185" s="86">
        <v>1</v>
      </c>
      <c r="N185" s="86">
        <v>16</v>
      </c>
      <c r="O185" s="100">
        <v>2530413501</v>
      </c>
      <c r="P185" s="100" t="s">
        <v>47</v>
      </c>
      <c r="Q185" s="100">
        <v>1000</v>
      </c>
      <c r="R185" s="106">
        <v>1019</v>
      </c>
      <c r="S185" s="72" t="s">
        <v>0</v>
      </c>
    </row>
    <row r="186" spans="12:19" x14ac:dyDescent="0.25">
      <c r="L186" s="94">
        <v>45963</v>
      </c>
      <c r="M186" s="86">
        <v>1</v>
      </c>
      <c r="N186" s="86">
        <v>17</v>
      </c>
      <c r="O186" s="100">
        <v>2530413501</v>
      </c>
      <c r="P186" s="100" t="s">
        <v>47</v>
      </c>
      <c r="Q186" s="100">
        <v>1000</v>
      </c>
      <c r="R186" s="106">
        <v>1020</v>
      </c>
      <c r="S186" s="72" t="s">
        <v>0</v>
      </c>
    </row>
    <row r="187" spans="12:19" x14ac:dyDescent="0.25">
      <c r="L187" s="94">
        <v>45963</v>
      </c>
      <c r="M187" s="86">
        <v>1</v>
      </c>
      <c r="N187" s="86">
        <v>18</v>
      </c>
      <c r="O187" s="100">
        <v>2530413501</v>
      </c>
      <c r="P187" s="100" t="s">
        <v>47</v>
      </c>
      <c r="Q187" s="100">
        <v>1000</v>
      </c>
      <c r="R187" s="106">
        <v>1017</v>
      </c>
      <c r="S187" s="72" t="s">
        <v>0</v>
      </c>
    </row>
    <row r="188" spans="12:19" x14ac:dyDescent="0.25">
      <c r="L188" s="94">
        <v>45963</v>
      </c>
      <c r="M188" s="86">
        <v>1</v>
      </c>
      <c r="N188" s="86">
        <v>19</v>
      </c>
      <c r="O188" s="100">
        <v>2530413501</v>
      </c>
      <c r="P188" s="100" t="s">
        <v>47</v>
      </c>
      <c r="Q188" s="100">
        <v>1000</v>
      </c>
      <c r="R188" s="106">
        <v>1020</v>
      </c>
      <c r="S188" s="72" t="s">
        <v>0</v>
      </c>
    </row>
    <row r="189" spans="12:19" ht="15.75" thickBot="1" x14ac:dyDescent="0.3">
      <c r="L189" s="95">
        <v>45963</v>
      </c>
      <c r="M189" s="96">
        <v>1</v>
      </c>
      <c r="N189" s="96">
        <v>20</v>
      </c>
      <c r="O189" s="101">
        <v>2530413501</v>
      </c>
      <c r="P189" s="101" t="s">
        <v>47</v>
      </c>
      <c r="Q189" s="101">
        <v>1000</v>
      </c>
      <c r="R189" s="107">
        <v>1021</v>
      </c>
      <c r="S189" s="108" t="s">
        <v>0</v>
      </c>
    </row>
    <row r="190" spans="12:19" ht="15.75" thickTop="1" x14ac:dyDescent="0.25">
      <c r="L190" s="94">
        <v>45963</v>
      </c>
      <c r="M190" s="86">
        <v>1</v>
      </c>
      <c r="N190" s="86">
        <v>2</v>
      </c>
      <c r="O190" s="100">
        <v>2530613501</v>
      </c>
      <c r="P190" s="100" t="s">
        <v>47</v>
      </c>
      <c r="Q190" s="100">
        <v>1000</v>
      </c>
      <c r="R190" s="106">
        <v>1019</v>
      </c>
      <c r="S190" s="72" t="s">
        <v>0</v>
      </c>
    </row>
    <row r="191" spans="12:19" x14ac:dyDescent="0.25">
      <c r="L191" s="94">
        <v>45963</v>
      </c>
      <c r="M191" s="86">
        <v>1</v>
      </c>
      <c r="N191" s="86">
        <v>3</v>
      </c>
      <c r="O191" s="100">
        <v>2530613501</v>
      </c>
      <c r="P191" s="100" t="s">
        <v>47</v>
      </c>
      <c r="Q191" s="100">
        <v>1000</v>
      </c>
      <c r="R191" s="106">
        <v>1021</v>
      </c>
      <c r="S191" s="72" t="s">
        <v>0</v>
      </c>
    </row>
    <row r="192" spans="12:19" x14ac:dyDescent="0.25">
      <c r="L192" s="94">
        <v>45963</v>
      </c>
      <c r="M192" s="86">
        <v>1</v>
      </c>
      <c r="N192" s="86">
        <v>4</v>
      </c>
      <c r="O192" s="100">
        <v>2530613501</v>
      </c>
      <c r="P192" s="100" t="s">
        <v>47</v>
      </c>
      <c r="Q192" s="100">
        <v>1000</v>
      </c>
      <c r="R192" s="106">
        <v>1025</v>
      </c>
      <c r="S192" s="72" t="s">
        <v>0</v>
      </c>
    </row>
    <row r="193" spans="12:19" x14ac:dyDescent="0.25">
      <c r="L193" s="94">
        <v>45963</v>
      </c>
      <c r="M193" s="86">
        <v>1</v>
      </c>
      <c r="N193" s="86">
        <v>5</v>
      </c>
      <c r="O193" s="100">
        <v>2530613501</v>
      </c>
      <c r="P193" s="100" t="s">
        <v>47</v>
      </c>
      <c r="Q193" s="100">
        <v>1000</v>
      </c>
      <c r="R193" s="106">
        <v>1019</v>
      </c>
      <c r="S193" s="72" t="s">
        <v>0</v>
      </c>
    </row>
    <row r="194" spans="12:19" x14ac:dyDescent="0.25">
      <c r="L194" s="94">
        <v>45964</v>
      </c>
      <c r="M194" s="86">
        <v>1</v>
      </c>
      <c r="N194" s="86">
        <v>6</v>
      </c>
      <c r="O194" s="100">
        <v>2530613501</v>
      </c>
      <c r="P194" s="100" t="s">
        <v>47</v>
      </c>
      <c r="Q194" s="100">
        <v>1000</v>
      </c>
      <c r="R194" s="106">
        <v>1023</v>
      </c>
      <c r="S194" s="72" t="s">
        <v>0</v>
      </c>
    </row>
    <row r="195" spans="12:19" x14ac:dyDescent="0.25">
      <c r="L195" s="94">
        <v>45964</v>
      </c>
      <c r="M195" s="86">
        <v>1</v>
      </c>
      <c r="N195" s="86">
        <v>7</v>
      </c>
      <c r="O195" s="100">
        <v>2530613501</v>
      </c>
      <c r="P195" s="100" t="s">
        <v>47</v>
      </c>
      <c r="Q195" s="100">
        <v>1000</v>
      </c>
      <c r="R195" s="106">
        <v>1019</v>
      </c>
      <c r="S195" s="72" t="s">
        <v>0</v>
      </c>
    </row>
    <row r="196" spans="12:19" x14ac:dyDescent="0.25">
      <c r="L196" s="94">
        <v>45964</v>
      </c>
      <c r="M196" s="86">
        <v>1</v>
      </c>
      <c r="N196" s="86">
        <v>8</v>
      </c>
      <c r="O196" s="100">
        <v>2530613501</v>
      </c>
      <c r="P196" s="100" t="s">
        <v>47</v>
      </c>
      <c r="Q196" s="100">
        <v>1000</v>
      </c>
      <c r="R196" s="106">
        <v>1018</v>
      </c>
      <c r="S196" s="72" t="s">
        <v>0</v>
      </c>
    </row>
    <row r="197" spans="12:19" x14ac:dyDescent="0.25">
      <c r="L197" s="94">
        <v>45964</v>
      </c>
      <c r="M197" s="86">
        <v>1</v>
      </c>
      <c r="N197" s="86">
        <v>9</v>
      </c>
      <c r="O197" s="100">
        <v>2530613501</v>
      </c>
      <c r="P197" s="100" t="s">
        <v>47</v>
      </c>
      <c r="Q197" s="100">
        <v>1000</v>
      </c>
      <c r="R197" s="106">
        <v>1017</v>
      </c>
      <c r="S197" s="72" t="s">
        <v>0</v>
      </c>
    </row>
    <row r="198" spans="12:19" x14ac:dyDescent="0.25">
      <c r="L198" s="94">
        <v>45964</v>
      </c>
      <c r="M198" s="86">
        <v>1</v>
      </c>
      <c r="N198" s="86">
        <v>10</v>
      </c>
      <c r="O198" s="100">
        <v>2530613501</v>
      </c>
      <c r="P198" s="100" t="s">
        <v>47</v>
      </c>
      <c r="Q198" s="100">
        <v>1000</v>
      </c>
      <c r="R198" s="106">
        <v>1019</v>
      </c>
      <c r="S198" s="72" t="s">
        <v>0</v>
      </c>
    </row>
    <row r="199" spans="12:19" x14ac:dyDescent="0.25">
      <c r="L199" s="94">
        <v>45964</v>
      </c>
      <c r="M199" s="86">
        <v>1</v>
      </c>
      <c r="N199" s="86">
        <v>11</v>
      </c>
      <c r="O199" s="100">
        <v>2530613501</v>
      </c>
      <c r="P199" s="100" t="s">
        <v>47</v>
      </c>
      <c r="Q199" s="100">
        <v>1000</v>
      </c>
      <c r="R199" s="106">
        <v>1018</v>
      </c>
      <c r="S199" s="72" t="s">
        <v>0</v>
      </c>
    </row>
    <row r="200" spans="12:19" x14ac:dyDescent="0.25">
      <c r="L200" s="94">
        <v>45964</v>
      </c>
      <c r="M200" s="86">
        <v>1</v>
      </c>
      <c r="N200" s="86">
        <v>12</v>
      </c>
      <c r="O200" s="100">
        <v>2530613501</v>
      </c>
      <c r="P200" s="100" t="s">
        <v>47</v>
      </c>
      <c r="Q200" s="100">
        <v>1000</v>
      </c>
      <c r="R200" s="106">
        <v>1019</v>
      </c>
      <c r="S200" s="72" t="s">
        <v>0</v>
      </c>
    </row>
    <row r="201" spans="12:19" x14ac:dyDescent="0.25">
      <c r="L201" s="94">
        <v>45964</v>
      </c>
      <c r="M201" s="86">
        <v>1</v>
      </c>
      <c r="N201" s="86">
        <v>13</v>
      </c>
      <c r="O201" s="100">
        <v>2530613501</v>
      </c>
      <c r="P201" s="100" t="s">
        <v>47</v>
      </c>
      <c r="Q201" s="100">
        <v>1000</v>
      </c>
      <c r="R201" s="106">
        <v>1019</v>
      </c>
      <c r="S201" s="72" t="s">
        <v>0</v>
      </c>
    </row>
    <row r="202" spans="12:19" x14ac:dyDescent="0.25">
      <c r="L202" s="94">
        <v>45964</v>
      </c>
      <c r="M202" s="86">
        <v>1</v>
      </c>
      <c r="N202" s="86">
        <v>14</v>
      </c>
      <c r="O202" s="100">
        <v>2530613501</v>
      </c>
      <c r="P202" s="100" t="s">
        <v>47</v>
      </c>
      <c r="Q202" s="100">
        <v>1000</v>
      </c>
      <c r="R202" s="106">
        <v>1018</v>
      </c>
      <c r="S202" s="72" t="s">
        <v>0</v>
      </c>
    </row>
    <row r="203" spans="12:19" x14ac:dyDescent="0.25">
      <c r="L203" s="94">
        <v>45964</v>
      </c>
      <c r="M203" s="86">
        <v>1</v>
      </c>
      <c r="N203" s="86">
        <v>15</v>
      </c>
      <c r="O203" s="100">
        <v>2530613501</v>
      </c>
      <c r="P203" s="100" t="s">
        <v>47</v>
      </c>
      <c r="Q203" s="100">
        <v>1000</v>
      </c>
      <c r="R203" s="106">
        <v>1019</v>
      </c>
      <c r="S203" s="72" t="s">
        <v>0</v>
      </c>
    </row>
    <row r="204" spans="12:19" x14ac:dyDescent="0.25">
      <c r="L204" s="94">
        <v>45964</v>
      </c>
      <c r="M204" s="86">
        <v>1</v>
      </c>
      <c r="N204" s="86">
        <v>16</v>
      </c>
      <c r="O204" s="100">
        <v>2530613501</v>
      </c>
      <c r="P204" s="100" t="s">
        <v>47</v>
      </c>
      <c r="Q204" s="100">
        <v>1000</v>
      </c>
      <c r="R204" s="106">
        <v>1023</v>
      </c>
      <c r="S204" s="72" t="s">
        <v>0</v>
      </c>
    </row>
    <row r="205" spans="12:19" x14ac:dyDescent="0.25">
      <c r="L205" s="94">
        <v>45964</v>
      </c>
      <c r="M205" s="86">
        <v>1</v>
      </c>
      <c r="N205" s="86">
        <v>17</v>
      </c>
      <c r="O205" s="100">
        <v>2530613501</v>
      </c>
      <c r="P205" s="100" t="s">
        <v>47</v>
      </c>
      <c r="Q205" s="100">
        <v>1000</v>
      </c>
      <c r="R205" s="106">
        <v>1025</v>
      </c>
      <c r="S205" s="72" t="s">
        <v>0</v>
      </c>
    </row>
    <row r="206" spans="12:19" x14ac:dyDescent="0.25">
      <c r="L206" s="94">
        <v>45964</v>
      </c>
      <c r="M206" s="86">
        <v>1</v>
      </c>
      <c r="N206" s="86">
        <v>18</v>
      </c>
      <c r="O206" s="100">
        <v>2530613501</v>
      </c>
      <c r="P206" s="100" t="s">
        <v>47</v>
      </c>
      <c r="Q206" s="100">
        <v>1000</v>
      </c>
      <c r="R206" s="106">
        <v>1022</v>
      </c>
      <c r="S206" s="72" t="s">
        <v>0</v>
      </c>
    </row>
    <row r="207" spans="12:19" x14ac:dyDescent="0.25">
      <c r="L207" s="94">
        <v>45965</v>
      </c>
      <c r="M207" s="86">
        <v>1</v>
      </c>
      <c r="N207" s="86">
        <v>19</v>
      </c>
      <c r="O207" s="100">
        <v>2530613501</v>
      </c>
      <c r="P207" s="100" t="s">
        <v>47</v>
      </c>
      <c r="Q207" s="100">
        <v>1000</v>
      </c>
      <c r="R207" s="106">
        <v>1019</v>
      </c>
      <c r="S207" s="72" t="s">
        <v>0</v>
      </c>
    </row>
    <row r="208" spans="12:19" ht="15.75" thickBot="1" x14ac:dyDescent="0.3">
      <c r="L208" s="95">
        <v>45965</v>
      </c>
      <c r="M208" s="96">
        <v>1</v>
      </c>
      <c r="N208" s="96">
        <v>20</v>
      </c>
      <c r="O208" s="101">
        <v>2530613501</v>
      </c>
      <c r="P208" s="101" t="s">
        <v>47</v>
      </c>
      <c r="Q208" s="101">
        <v>1000</v>
      </c>
      <c r="R208" s="107">
        <v>1020</v>
      </c>
      <c r="S208" s="108" t="s">
        <v>0</v>
      </c>
    </row>
    <row r="209" spans="12:19" ht="15.75" thickTop="1" x14ac:dyDescent="0.25">
      <c r="L209" s="98">
        <v>45965</v>
      </c>
      <c r="M209" s="97">
        <v>1</v>
      </c>
      <c r="N209" s="99">
        <v>1</v>
      </c>
      <c r="O209" s="99">
        <v>2530813501</v>
      </c>
      <c r="P209" s="99" t="s">
        <v>47</v>
      </c>
      <c r="Q209" s="99">
        <v>1000</v>
      </c>
      <c r="R209" s="104">
        <v>997</v>
      </c>
      <c r="S209" s="105" t="s">
        <v>0</v>
      </c>
    </row>
    <row r="210" spans="12:19" x14ac:dyDescent="0.25">
      <c r="L210" s="94">
        <v>45965</v>
      </c>
      <c r="M210" s="86">
        <v>1</v>
      </c>
      <c r="N210" s="100">
        <v>2</v>
      </c>
      <c r="O210" s="100">
        <v>2530813501</v>
      </c>
      <c r="P210" s="100" t="s">
        <v>47</v>
      </c>
      <c r="Q210" s="100">
        <v>1000</v>
      </c>
      <c r="R210" s="106">
        <v>1023</v>
      </c>
      <c r="S210" s="72" t="s">
        <v>0</v>
      </c>
    </row>
    <row r="211" spans="12:19" x14ac:dyDescent="0.25">
      <c r="L211" s="94">
        <v>45965</v>
      </c>
      <c r="M211" s="86">
        <v>1</v>
      </c>
      <c r="N211" s="100">
        <v>3</v>
      </c>
      <c r="O211" s="100">
        <v>2530813501</v>
      </c>
      <c r="P211" s="100" t="s">
        <v>47</v>
      </c>
      <c r="Q211" s="100">
        <v>1000</v>
      </c>
      <c r="R211" s="106">
        <v>999</v>
      </c>
      <c r="S211" s="72" t="s">
        <v>0</v>
      </c>
    </row>
    <row r="212" spans="12:19" x14ac:dyDescent="0.25">
      <c r="L212" s="94">
        <v>45965</v>
      </c>
      <c r="M212" s="86">
        <v>1</v>
      </c>
      <c r="N212" s="100">
        <v>4</v>
      </c>
      <c r="O212" s="100">
        <v>2530813501</v>
      </c>
      <c r="P212" s="100" t="s">
        <v>47</v>
      </c>
      <c r="Q212" s="100">
        <v>1000</v>
      </c>
      <c r="R212" s="106">
        <v>1033</v>
      </c>
      <c r="S212" s="72" t="s">
        <v>0</v>
      </c>
    </row>
    <row r="213" spans="12:19" x14ac:dyDescent="0.25">
      <c r="L213" s="94">
        <v>45966</v>
      </c>
      <c r="M213" s="86">
        <v>1</v>
      </c>
      <c r="N213" s="100">
        <v>5</v>
      </c>
      <c r="O213" s="100">
        <v>2530813501</v>
      </c>
      <c r="P213" s="100" t="s">
        <v>47</v>
      </c>
      <c r="Q213" s="100">
        <v>1000</v>
      </c>
      <c r="R213" s="106">
        <v>1025</v>
      </c>
      <c r="S213" s="72" t="s">
        <v>0</v>
      </c>
    </row>
    <row r="214" spans="12:19" x14ac:dyDescent="0.25">
      <c r="L214" s="94">
        <v>45966</v>
      </c>
      <c r="M214" s="86">
        <v>1</v>
      </c>
      <c r="N214" s="100">
        <v>6</v>
      </c>
      <c r="O214" s="100">
        <v>2530813501</v>
      </c>
      <c r="P214" s="100" t="s">
        <v>47</v>
      </c>
      <c r="Q214" s="100">
        <v>1000</v>
      </c>
      <c r="R214" s="106">
        <v>1025</v>
      </c>
      <c r="S214" s="72" t="s">
        <v>0</v>
      </c>
    </row>
    <row r="215" spans="12:19" x14ac:dyDescent="0.25">
      <c r="L215" s="94">
        <v>45966</v>
      </c>
      <c r="M215" s="86">
        <v>1</v>
      </c>
      <c r="N215" s="100">
        <v>7</v>
      </c>
      <c r="O215" s="100">
        <v>2530813501</v>
      </c>
      <c r="P215" s="100" t="s">
        <v>47</v>
      </c>
      <c r="Q215" s="100">
        <v>1000</v>
      </c>
      <c r="R215" s="106">
        <v>1015</v>
      </c>
      <c r="S215" s="72" t="s">
        <v>0</v>
      </c>
    </row>
    <row r="216" spans="12:19" x14ac:dyDescent="0.25">
      <c r="L216" s="94">
        <v>45966</v>
      </c>
      <c r="M216" s="86">
        <v>1</v>
      </c>
      <c r="N216" s="100">
        <v>8</v>
      </c>
      <c r="O216" s="100">
        <v>2530813501</v>
      </c>
      <c r="P216" s="100" t="s">
        <v>47</v>
      </c>
      <c r="Q216" s="100">
        <v>1000</v>
      </c>
      <c r="R216" s="106">
        <v>1023</v>
      </c>
      <c r="S216" s="72" t="s">
        <v>0</v>
      </c>
    </row>
    <row r="217" spans="12:19" x14ac:dyDescent="0.25">
      <c r="L217" s="94">
        <v>45966</v>
      </c>
      <c r="M217" s="86">
        <v>1</v>
      </c>
      <c r="N217" s="100">
        <v>9</v>
      </c>
      <c r="O217" s="100">
        <v>2530813501</v>
      </c>
      <c r="P217" s="100" t="s">
        <v>47</v>
      </c>
      <c r="Q217" s="100">
        <v>1000</v>
      </c>
      <c r="R217" s="106">
        <v>1030</v>
      </c>
      <c r="S217" s="72" t="s">
        <v>0</v>
      </c>
    </row>
    <row r="218" spans="12:19" x14ac:dyDescent="0.25">
      <c r="L218" s="94">
        <v>45967</v>
      </c>
      <c r="M218" s="86">
        <v>1</v>
      </c>
      <c r="N218" s="100">
        <v>14</v>
      </c>
      <c r="O218" s="100">
        <v>2530813501</v>
      </c>
      <c r="P218" s="100" t="s">
        <v>47</v>
      </c>
      <c r="Q218" s="100">
        <v>1000</v>
      </c>
      <c r="R218" s="106">
        <v>994</v>
      </c>
      <c r="S218" s="72" t="s">
        <v>0</v>
      </c>
    </row>
    <row r="219" spans="12:19" x14ac:dyDescent="0.25">
      <c r="L219" s="94">
        <v>45967</v>
      </c>
      <c r="M219" s="86">
        <v>1</v>
      </c>
      <c r="N219" s="100">
        <v>15</v>
      </c>
      <c r="O219" s="100">
        <v>2530813501</v>
      </c>
      <c r="P219" s="100" t="s">
        <v>47</v>
      </c>
      <c r="Q219" s="100">
        <v>1000</v>
      </c>
      <c r="R219" s="106">
        <v>1028</v>
      </c>
      <c r="S219" s="72" t="s">
        <v>0</v>
      </c>
    </row>
    <row r="220" spans="12:19" x14ac:dyDescent="0.25">
      <c r="L220" s="94">
        <v>45967</v>
      </c>
      <c r="M220" s="86">
        <v>1</v>
      </c>
      <c r="N220" s="100">
        <v>16</v>
      </c>
      <c r="O220" s="100">
        <v>2530813501</v>
      </c>
      <c r="P220" s="100" t="s">
        <v>47</v>
      </c>
      <c r="Q220" s="100">
        <v>1000</v>
      </c>
      <c r="R220" s="106">
        <v>1034</v>
      </c>
      <c r="S220" s="72" t="s">
        <v>0</v>
      </c>
    </row>
    <row r="221" spans="12:19" x14ac:dyDescent="0.25">
      <c r="L221" s="94">
        <v>45967</v>
      </c>
      <c r="M221" s="86">
        <v>1</v>
      </c>
      <c r="N221" s="100">
        <v>17</v>
      </c>
      <c r="O221" s="100">
        <v>2530813501</v>
      </c>
      <c r="P221" s="100" t="s">
        <v>47</v>
      </c>
      <c r="Q221" s="100">
        <v>1000</v>
      </c>
      <c r="R221" s="106">
        <v>1030</v>
      </c>
      <c r="S221" s="72" t="s">
        <v>0</v>
      </c>
    </row>
    <row r="222" spans="12:19" x14ac:dyDescent="0.25">
      <c r="L222" s="94">
        <v>45967</v>
      </c>
      <c r="M222" s="86">
        <v>1</v>
      </c>
      <c r="N222" s="100">
        <v>18</v>
      </c>
      <c r="O222" s="100">
        <v>2530813501</v>
      </c>
      <c r="P222" s="100" t="s">
        <v>47</v>
      </c>
      <c r="Q222" s="100">
        <v>1000</v>
      </c>
      <c r="R222" s="106">
        <v>1005</v>
      </c>
      <c r="S222" s="72" t="s">
        <v>0</v>
      </c>
    </row>
    <row r="223" spans="12:19" x14ac:dyDescent="0.25">
      <c r="L223" s="94">
        <v>45967</v>
      </c>
      <c r="M223" s="86">
        <v>1</v>
      </c>
      <c r="N223" s="100">
        <v>19</v>
      </c>
      <c r="O223" s="100">
        <v>2530813501</v>
      </c>
      <c r="P223" s="100" t="s">
        <v>47</v>
      </c>
      <c r="Q223" s="100">
        <v>1000</v>
      </c>
      <c r="R223" s="106">
        <v>1027</v>
      </c>
      <c r="S223" s="72" t="s">
        <v>0</v>
      </c>
    </row>
    <row r="224" spans="12:19" ht="15.75" thickBot="1" x14ac:dyDescent="0.3">
      <c r="L224" s="95">
        <v>45968</v>
      </c>
      <c r="M224" s="96">
        <v>1</v>
      </c>
      <c r="N224" s="101">
        <v>20</v>
      </c>
      <c r="O224" s="101">
        <v>2530813501</v>
      </c>
      <c r="P224" s="101" t="s">
        <v>47</v>
      </c>
      <c r="Q224" s="101">
        <v>1000</v>
      </c>
      <c r="R224" s="107">
        <v>1020</v>
      </c>
      <c r="S224" s="108" t="s">
        <v>0</v>
      </c>
    </row>
    <row r="225" spans="12:19" ht="15.75" thickTop="1" x14ac:dyDescent="0.25">
      <c r="L225" s="98">
        <v>45968</v>
      </c>
      <c r="M225" s="97">
        <v>1</v>
      </c>
      <c r="N225" s="99">
        <v>1</v>
      </c>
      <c r="O225" s="99">
        <v>2531013501</v>
      </c>
      <c r="P225" s="99" t="s">
        <v>47</v>
      </c>
      <c r="Q225" s="99">
        <v>1000</v>
      </c>
      <c r="R225" s="104">
        <v>1023</v>
      </c>
      <c r="S225" s="105" t="s">
        <v>0</v>
      </c>
    </row>
    <row r="226" spans="12:19" x14ac:dyDescent="0.25">
      <c r="L226" s="94">
        <v>45968</v>
      </c>
      <c r="M226" s="86">
        <v>1</v>
      </c>
      <c r="N226" s="100">
        <v>2</v>
      </c>
      <c r="O226" s="100">
        <v>2531013501</v>
      </c>
      <c r="P226" s="100" t="s">
        <v>47</v>
      </c>
      <c r="Q226" s="100">
        <v>1000</v>
      </c>
      <c r="R226" s="106">
        <v>1020</v>
      </c>
      <c r="S226" s="72" t="s">
        <v>0</v>
      </c>
    </row>
    <row r="227" spans="12:19" x14ac:dyDescent="0.25">
      <c r="L227" s="94">
        <v>45968</v>
      </c>
      <c r="M227" s="86">
        <v>1</v>
      </c>
      <c r="N227" s="100">
        <v>3</v>
      </c>
      <c r="O227" s="100">
        <v>2531013501</v>
      </c>
      <c r="P227" s="100" t="s">
        <v>47</v>
      </c>
      <c r="Q227" s="100">
        <v>1000</v>
      </c>
      <c r="R227" s="106">
        <v>1003</v>
      </c>
      <c r="S227" s="72" t="s">
        <v>0</v>
      </c>
    </row>
    <row r="228" spans="12:19" x14ac:dyDescent="0.25">
      <c r="L228" s="94">
        <v>45968</v>
      </c>
      <c r="M228" s="86">
        <v>1</v>
      </c>
      <c r="N228" s="100">
        <v>4</v>
      </c>
      <c r="O228" s="100">
        <v>2531013501</v>
      </c>
      <c r="P228" s="100" t="s">
        <v>47</v>
      </c>
      <c r="Q228" s="100">
        <v>1000</v>
      </c>
      <c r="R228" s="106">
        <v>1021</v>
      </c>
      <c r="S228" s="72" t="s">
        <v>0</v>
      </c>
    </row>
    <row r="229" spans="12:19" x14ac:dyDescent="0.25">
      <c r="L229" s="94">
        <v>45970</v>
      </c>
      <c r="M229" s="86">
        <v>1</v>
      </c>
      <c r="N229" s="100">
        <v>5</v>
      </c>
      <c r="O229" s="100">
        <v>2531013501</v>
      </c>
      <c r="P229" s="100" t="s">
        <v>47</v>
      </c>
      <c r="Q229" s="100">
        <v>1000</v>
      </c>
      <c r="R229" s="106">
        <v>1023</v>
      </c>
      <c r="S229" s="72" t="s">
        <v>0</v>
      </c>
    </row>
    <row r="230" spans="12:19" x14ac:dyDescent="0.25">
      <c r="L230" s="94">
        <v>45970</v>
      </c>
      <c r="M230" s="86">
        <v>1</v>
      </c>
      <c r="N230" s="100">
        <v>6</v>
      </c>
      <c r="O230" s="100">
        <v>2531013501</v>
      </c>
      <c r="P230" s="100" t="s">
        <v>47</v>
      </c>
      <c r="Q230" s="100">
        <v>1000</v>
      </c>
      <c r="R230" s="106">
        <v>1033</v>
      </c>
      <c r="S230" s="72" t="s">
        <v>0</v>
      </c>
    </row>
    <row r="231" spans="12:19" x14ac:dyDescent="0.25">
      <c r="L231" s="94">
        <v>45970</v>
      </c>
      <c r="M231" s="86">
        <v>1</v>
      </c>
      <c r="N231" s="100">
        <v>7</v>
      </c>
      <c r="O231" s="100">
        <v>2531013501</v>
      </c>
      <c r="P231" s="100" t="s">
        <v>47</v>
      </c>
      <c r="Q231" s="100">
        <v>1000</v>
      </c>
      <c r="R231" s="106">
        <v>1033</v>
      </c>
      <c r="S231" s="72" t="s">
        <v>0</v>
      </c>
    </row>
    <row r="232" spans="12:19" x14ac:dyDescent="0.25">
      <c r="L232" s="94">
        <v>45970</v>
      </c>
      <c r="M232" s="86">
        <v>1</v>
      </c>
      <c r="N232" s="100">
        <v>9</v>
      </c>
      <c r="O232" s="100">
        <v>2531013501</v>
      </c>
      <c r="P232" s="100" t="s">
        <v>47</v>
      </c>
      <c r="Q232" s="100">
        <v>1000</v>
      </c>
      <c r="R232" s="106">
        <v>1014</v>
      </c>
      <c r="S232" s="72" t="s">
        <v>0</v>
      </c>
    </row>
    <row r="233" spans="12:19" x14ac:dyDescent="0.25">
      <c r="L233" s="94">
        <v>45970</v>
      </c>
      <c r="M233" s="86">
        <v>1</v>
      </c>
      <c r="N233" s="100">
        <v>10</v>
      </c>
      <c r="O233" s="100">
        <v>2531013501</v>
      </c>
      <c r="P233" s="100" t="s">
        <v>47</v>
      </c>
      <c r="Q233" s="100">
        <v>1000</v>
      </c>
      <c r="R233" s="106">
        <v>1015</v>
      </c>
      <c r="S233" s="72" t="s">
        <v>0</v>
      </c>
    </row>
    <row r="234" spans="12:19" x14ac:dyDescent="0.25">
      <c r="L234" s="94">
        <v>45970</v>
      </c>
      <c r="M234" s="86">
        <v>1</v>
      </c>
      <c r="N234" s="100">
        <v>11</v>
      </c>
      <c r="O234" s="100">
        <v>2531013501</v>
      </c>
      <c r="P234" s="100" t="s">
        <v>47</v>
      </c>
      <c r="Q234" s="100">
        <v>1000</v>
      </c>
      <c r="R234" s="106">
        <v>1028</v>
      </c>
      <c r="S234" s="72" t="s">
        <v>0</v>
      </c>
    </row>
    <row r="235" spans="12:19" x14ac:dyDescent="0.25">
      <c r="L235" s="94">
        <v>45970</v>
      </c>
      <c r="M235" s="86">
        <v>1</v>
      </c>
      <c r="N235" s="100">
        <v>12</v>
      </c>
      <c r="O235" s="100">
        <v>2531013501</v>
      </c>
      <c r="P235" s="100" t="s">
        <v>47</v>
      </c>
      <c r="Q235" s="100">
        <v>1000</v>
      </c>
      <c r="R235" s="106">
        <v>1025</v>
      </c>
      <c r="S235" s="72" t="s">
        <v>0</v>
      </c>
    </row>
    <row r="236" spans="12:19" x14ac:dyDescent="0.25">
      <c r="L236" s="94">
        <v>45970</v>
      </c>
      <c r="M236" s="86">
        <v>1</v>
      </c>
      <c r="N236" s="100">
        <v>13</v>
      </c>
      <c r="O236" s="100">
        <v>2531013501</v>
      </c>
      <c r="P236" s="100" t="s">
        <v>47</v>
      </c>
      <c r="Q236" s="100">
        <v>1000</v>
      </c>
      <c r="R236" s="106">
        <v>1021</v>
      </c>
      <c r="S236" s="72" t="s">
        <v>0</v>
      </c>
    </row>
    <row r="237" spans="12:19" x14ac:dyDescent="0.25">
      <c r="L237" s="94">
        <v>45970</v>
      </c>
      <c r="M237" s="86">
        <v>1</v>
      </c>
      <c r="N237" s="100">
        <v>14</v>
      </c>
      <c r="O237" s="100">
        <v>2531013501</v>
      </c>
      <c r="P237" s="100" t="s">
        <v>47</v>
      </c>
      <c r="Q237" s="100">
        <v>1000</v>
      </c>
      <c r="R237" s="106">
        <v>1020</v>
      </c>
      <c r="S237" s="72" t="s">
        <v>0</v>
      </c>
    </row>
    <row r="238" spans="12:19" x14ac:dyDescent="0.25">
      <c r="L238" s="94">
        <v>45970</v>
      </c>
      <c r="M238" s="86">
        <v>1</v>
      </c>
      <c r="N238" s="100">
        <v>15</v>
      </c>
      <c r="O238" s="100">
        <v>2531013501</v>
      </c>
      <c r="P238" s="100" t="s">
        <v>47</v>
      </c>
      <c r="Q238" s="100">
        <v>1000</v>
      </c>
      <c r="R238" s="106">
        <v>1017</v>
      </c>
      <c r="S238" s="72" t="s">
        <v>0</v>
      </c>
    </row>
    <row r="239" spans="12:19" x14ac:dyDescent="0.25">
      <c r="L239" s="94">
        <v>45971</v>
      </c>
      <c r="M239" s="86">
        <v>1</v>
      </c>
      <c r="N239" s="100">
        <v>16</v>
      </c>
      <c r="O239" s="100">
        <v>2531013501</v>
      </c>
      <c r="P239" s="100" t="s">
        <v>47</v>
      </c>
      <c r="Q239" s="100">
        <v>1000</v>
      </c>
      <c r="R239" s="106">
        <v>1034</v>
      </c>
      <c r="S239" s="72" t="s">
        <v>0</v>
      </c>
    </row>
    <row r="240" spans="12:19" x14ac:dyDescent="0.25">
      <c r="L240" s="94">
        <v>45971</v>
      </c>
      <c r="M240" s="86">
        <v>1</v>
      </c>
      <c r="N240" s="100">
        <v>17</v>
      </c>
      <c r="O240" s="100">
        <v>2531013501</v>
      </c>
      <c r="P240" s="100" t="s">
        <v>47</v>
      </c>
      <c r="Q240" s="100">
        <v>1000</v>
      </c>
      <c r="R240" s="106">
        <v>1023</v>
      </c>
      <c r="S240" s="72" t="s">
        <v>0</v>
      </c>
    </row>
    <row r="241" spans="12:19" x14ac:dyDescent="0.25">
      <c r="L241" s="94">
        <v>45971</v>
      </c>
      <c r="M241" s="86">
        <v>1</v>
      </c>
      <c r="N241" s="100">
        <v>18</v>
      </c>
      <c r="O241" s="100">
        <v>2531013501</v>
      </c>
      <c r="P241" s="100" t="s">
        <v>47</v>
      </c>
      <c r="Q241" s="100">
        <v>1000</v>
      </c>
      <c r="R241" s="106">
        <v>1029</v>
      </c>
      <c r="S241" s="72" t="s">
        <v>0</v>
      </c>
    </row>
    <row r="242" spans="12:19" x14ac:dyDescent="0.25">
      <c r="L242" s="94">
        <v>45971</v>
      </c>
      <c r="M242" s="86">
        <v>1</v>
      </c>
      <c r="N242" s="100">
        <v>19</v>
      </c>
      <c r="O242" s="100">
        <v>2531013501</v>
      </c>
      <c r="P242" s="100" t="s">
        <v>47</v>
      </c>
      <c r="Q242" s="100">
        <v>1000</v>
      </c>
      <c r="R242" s="106">
        <v>1011</v>
      </c>
      <c r="S242" s="72" t="s">
        <v>0</v>
      </c>
    </row>
    <row r="243" spans="12:19" ht="15.75" thickBot="1" x14ac:dyDescent="0.3">
      <c r="L243" s="95">
        <v>45971</v>
      </c>
      <c r="M243" s="96">
        <v>1</v>
      </c>
      <c r="N243" s="101">
        <v>20</v>
      </c>
      <c r="O243" s="101">
        <v>2531013501</v>
      </c>
      <c r="P243" s="101" t="s">
        <v>47</v>
      </c>
      <c r="Q243" s="101">
        <v>1000</v>
      </c>
      <c r="R243" s="107">
        <v>1025</v>
      </c>
      <c r="S243" s="108" t="s">
        <v>0</v>
      </c>
    </row>
    <row r="244" spans="12:19" ht="15.75" thickTop="1" x14ac:dyDescent="0.25">
      <c r="L244" s="98">
        <v>45971</v>
      </c>
      <c r="M244" s="97">
        <v>1</v>
      </c>
      <c r="N244" s="99">
        <v>1</v>
      </c>
      <c r="O244" s="99">
        <v>2531413501</v>
      </c>
      <c r="P244" s="99" t="s">
        <v>47</v>
      </c>
      <c r="Q244" s="99">
        <v>1000</v>
      </c>
      <c r="R244" s="104">
        <v>1019</v>
      </c>
      <c r="S244" s="105" t="s">
        <v>0</v>
      </c>
    </row>
    <row r="245" spans="12:19" x14ac:dyDescent="0.25">
      <c r="L245" s="94">
        <v>45971</v>
      </c>
      <c r="M245" s="86">
        <v>1</v>
      </c>
      <c r="N245" s="100">
        <v>2</v>
      </c>
      <c r="O245" s="100">
        <v>2531413501</v>
      </c>
      <c r="P245" s="100" t="s">
        <v>47</v>
      </c>
      <c r="Q245" s="100">
        <v>1000</v>
      </c>
      <c r="R245" s="106">
        <v>1028</v>
      </c>
      <c r="S245" s="72" t="s">
        <v>0</v>
      </c>
    </row>
    <row r="246" spans="12:19" x14ac:dyDescent="0.25">
      <c r="L246" s="94">
        <v>45971</v>
      </c>
      <c r="M246" s="86">
        <v>1</v>
      </c>
      <c r="N246" s="100">
        <v>3</v>
      </c>
      <c r="O246" s="100">
        <v>2531413501</v>
      </c>
      <c r="P246" s="100" t="s">
        <v>47</v>
      </c>
      <c r="Q246" s="100">
        <v>1000</v>
      </c>
      <c r="R246" s="106">
        <v>1023</v>
      </c>
      <c r="S246" s="72" t="s">
        <v>0</v>
      </c>
    </row>
    <row r="247" spans="12:19" x14ac:dyDescent="0.25">
      <c r="L247" s="94">
        <v>45971</v>
      </c>
      <c r="M247" s="86">
        <v>1</v>
      </c>
      <c r="N247" s="100">
        <v>4</v>
      </c>
      <c r="O247" s="100">
        <v>2531413501</v>
      </c>
      <c r="P247" s="100" t="s">
        <v>47</v>
      </c>
      <c r="Q247" s="100">
        <v>1000</v>
      </c>
      <c r="R247" s="106">
        <v>1014</v>
      </c>
      <c r="S247" s="72" t="s">
        <v>0</v>
      </c>
    </row>
    <row r="248" spans="12:19" x14ac:dyDescent="0.25">
      <c r="L248" s="94">
        <v>45971</v>
      </c>
      <c r="M248" s="86">
        <v>1</v>
      </c>
      <c r="N248" s="100">
        <v>5</v>
      </c>
      <c r="O248" s="100">
        <v>2531413501</v>
      </c>
      <c r="P248" s="100" t="s">
        <v>47</v>
      </c>
      <c r="Q248" s="100">
        <v>1000</v>
      </c>
      <c r="R248" s="106">
        <v>1022</v>
      </c>
      <c r="S248" s="72" t="s">
        <v>0</v>
      </c>
    </row>
    <row r="249" spans="12:19" x14ac:dyDescent="0.25">
      <c r="L249" s="94">
        <v>45972</v>
      </c>
      <c r="M249" s="86">
        <v>1</v>
      </c>
      <c r="N249" s="100">
        <v>6</v>
      </c>
      <c r="O249" s="100">
        <v>2531413501</v>
      </c>
      <c r="P249" s="100" t="s">
        <v>47</v>
      </c>
      <c r="Q249" s="100">
        <v>1000</v>
      </c>
      <c r="R249" s="106">
        <v>1024</v>
      </c>
      <c r="S249" s="72" t="s">
        <v>0</v>
      </c>
    </row>
    <row r="250" spans="12:19" x14ac:dyDescent="0.25">
      <c r="L250" s="94">
        <v>45972</v>
      </c>
      <c r="M250" s="86">
        <v>1</v>
      </c>
      <c r="N250" s="100">
        <v>7</v>
      </c>
      <c r="O250" s="100">
        <v>2531413501</v>
      </c>
      <c r="P250" s="100" t="s">
        <v>47</v>
      </c>
      <c r="Q250" s="100">
        <v>1000</v>
      </c>
      <c r="R250" s="106">
        <v>1042</v>
      </c>
      <c r="S250" s="72" t="s">
        <v>0</v>
      </c>
    </row>
    <row r="251" spans="12:19" x14ac:dyDescent="0.25">
      <c r="L251" s="94">
        <v>45972</v>
      </c>
      <c r="M251" s="86">
        <v>1</v>
      </c>
      <c r="N251" s="100">
        <v>8</v>
      </c>
      <c r="O251" s="100">
        <v>2531413501</v>
      </c>
      <c r="P251" s="100" t="s">
        <v>47</v>
      </c>
      <c r="Q251" s="100">
        <v>1000</v>
      </c>
      <c r="R251" s="106">
        <v>1019</v>
      </c>
      <c r="S251" s="72" t="s">
        <v>0</v>
      </c>
    </row>
    <row r="252" spans="12:19" x14ac:dyDescent="0.25">
      <c r="L252" s="94">
        <v>45972</v>
      </c>
      <c r="M252" s="86">
        <v>1</v>
      </c>
      <c r="N252" s="100">
        <v>9</v>
      </c>
      <c r="O252" s="100">
        <v>2531413501</v>
      </c>
      <c r="P252" s="100" t="s">
        <v>47</v>
      </c>
      <c r="Q252" s="100">
        <v>1000</v>
      </c>
      <c r="R252" s="106">
        <v>1010</v>
      </c>
      <c r="S252" s="72" t="s">
        <v>0</v>
      </c>
    </row>
    <row r="253" spans="12:19" x14ac:dyDescent="0.25">
      <c r="L253" s="94">
        <v>45972</v>
      </c>
      <c r="M253" s="86">
        <v>1</v>
      </c>
      <c r="N253" s="100">
        <v>10</v>
      </c>
      <c r="O253" s="100">
        <v>2531413501</v>
      </c>
      <c r="P253" s="100" t="s">
        <v>47</v>
      </c>
      <c r="Q253" s="100">
        <v>1000</v>
      </c>
      <c r="R253" s="106">
        <v>1019</v>
      </c>
      <c r="S253" s="72" t="s">
        <v>0</v>
      </c>
    </row>
    <row r="254" spans="12:19" x14ac:dyDescent="0.25">
      <c r="L254" s="94">
        <v>45972</v>
      </c>
      <c r="M254" s="86">
        <v>1</v>
      </c>
      <c r="N254" s="100">
        <v>11</v>
      </c>
      <c r="O254" s="100">
        <v>2531413501</v>
      </c>
      <c r="P254" s="100" t="s">
        <v>47</v>
      </c>
      <c r="Q254" s="100">
        <v>1000</v>
      </c>
      <c r="R254" s="106">
        <v>1020</v>
      </c>
      <c r="S254" s="72" t="s">
        <v>0</v>
      </c>
    </row>
    <row r="255" spans="12:19" x14ac:dyDescent="0.25">
      <c r="L255" s="94">
        <v>45972</v>
      </c>
      <c r="M255" s="86">
        <v>1</v>
      </c>
      <c r="N255" s="100">
        <v>12</v>
      </c>
      <c r="O255" s="100">
        <v>2531413501</v>
      </c>
      <c r="P255" s="100" t="s">
        <v>47</v>
      </c>
      <c r="Q255" s="100">
        <v>1000</v>
      </c>
      <c r="R255" s="106">
        <v>1025</v>
      </c>
      <c r="S255" s="72" t="s">
        <v>0</v>
      </c>
    </row>
    <row r="256" spans="12:19" x14ac:dyDescent="0.25">
      <c r="L256" s="94">
        <v>45972</v>
      </c>
      <c r="M256" s="86">
        <v>1</v>
      </c>
      <c r="N256" s="100">
        <v>13</v>
      </c>
      <c r="O256" s="100">
        <v>2531413501</v>
      </c>
      <c r="P256" s="100" t="s">
        <v>47</v>
      </c>
      <c r="Q256" s="100">
        <v>1000</v>
      </c>
      <c r="R256" s="106">
        <v>1020</v>
      </c>
      <c r="S256" s="72" t="s">
        <v>0</v>
      </c>
    </row>
    <row r="257" spans="12:19" x14ac:dyDescent="0.25">
      <c r="L257" s="94">
        <v>45973</v>
      </c>
      <c r="M257" s="86">
        <v>1</v>
      </c>
      <c r="N257" s="100">
        <v>14</v>
      </c>
      <c r="O257" s="100">
        <v>2531413501</v>
      </c>
      <c r="P257" s="100" t="s">
        <v>47</v>
      </c>
      <c r="Q257" s="100">
        <v>1000</v>
      </c>
      <c r="R257" s="106">
        <v>1030</v>
      </c>
      <c r="S257" s="72" t="s">
        <v>0</v>
      </c>
    </row>
    <row r="258" spans="12:19" x14ac:dyDescent="0.25">
      <c r="L258" s="94">
        <v>45973</v>
      </c>
      <c r="M258" s="86">
        <v>1</v>
      </c>
      <c r="N258" s="100">
        <v>15</v>
      </c>
      <c r="O258" s="100">
        <v>2531413501</v>
      </c>
      <c r="P258" s="100" t="s">
        <v>47</v>
      </c>
      <c r="Q258" s="100">
        <v>1000</v>
      </c>
      <c r="R258" s="106">
        <v>1022</v>
      </c>
      <c r="S258" s="72" t="s">
        <v>0</v>
      </c>
    </row>
    <row r="259" spans="12:19" x14ac:dyDescent="0.25">
      <c r="L259" s="94">
        <v>45973</v>
      </c>
      <c r="M259" s="86">
        <v>1</v>
      </c>
      <c r="N259" s="100">
        <v>16</v>
      </c>
      <c r="O259" s="100">
        <v>2531413501</v>
      </c>
      <c r="P259" s="100" t="s">
        <v>47</v>
      </c>
      <c r="Q259" s="100">
        <v>1000</v>
      </c>
      <c r="R259" s="106">
        <v>1020</v>
      </c>
      <c r="S259" s="72" t="s">
        <v>0</v>
      </c>
    </row>
    <row r="260" spans="12:19" x14ac:dyDescent="0.25">
      <c r="L260" s="94">
        <v>45973</v>
      </c>
      <c r="M260" s="86">
        <v>1</v>
      </c>
      <c r="N260" s="100">
        <v>17</v>
      </c>
      <c r="O260" s="100">
        <v>2531413501</v>
      </c>
      <c r="P260" s="100" t="s">
        <v>47</v>
      </c>
      <c r="Q260" s="100">
        <v>1000</v>
      </c>
      <c r="R260" s="106"/>
      <c r="S260" s="72" t="s">
        <v>0</v>
      </c>
    </row>
    <row r="261" spans="12:19" x14ac:dyDescent="0.25">
      <c r="L261" s="94">
        <v>45973</v>
      </c>
      <c r="M261" s="86">
        <v>1</v>
      </c>
      <c r="N261" s="100">
        <v>18</v>
      </c>
      <c r="O261" s="100">
        <v>2531413501</v>
      </c>
      <c r="P261" s="100" t="s">
        <v>47</v>
      </c>
      <c r="Q261" s="100">
        <v>1000</v>
      </c>
      <c r="R261" s="106"/>
      <c r="S261" s="72" t="s">
        <v>0</v>
      </c>
    </row>
    <row r="262" spans="12:19" x14ac:dyDescent="0.25">
      <c r="L262" s="94">
        <v>45973</v>
      </c>
      <c r="M262" s="86">
        <v>1</v>
      </c>
      <c r="N262" s="100">
        <v>19</v>
      </c>
      <c r="O262" s="100">
        <v>2531413501</v>
      </c>
      <c r="P262" s="100" t="s">
        <v>47</v>
      </c>
      <c r="Q262" s="100">
        <v>1000</v>
      </c>
      <c r="R262" s="106"/>
      <c r="S262" s="72" t="s">
        <v>0</v>
      </c>
    </row>
    <row r="263" spans="12:19" ht="15.75" thickBot="1" x14ac:dyDescent="0.3">
      <c r="L263" s="95">
        <v>45973</v>
      </c>
      <c r="M263" s="96">
        <v>1</v>
      </c>
      <c r="N263" s="101">
        <v>20</v>
      </c>
      <c r="O263" s="101">
        <v>2531413501</v>
      </c>
      <c r="P263" s="101" t="s">
        <v>47</v>
      </c>
      <c r="Q263" s="101">
        <v>1000</v>
      </c>
      <c r="R263" s="107"/>
      <c r="S263" s="108" t="s">
        <v>0</v>
      </c>
    </row>
    <row r="264" spans="12:19" ht="15.75" thickTop="1" x14ac:dyDescent="0.25">
      <c r="L264" s="98">
        <v>45973</v>
      </c>
      <c r="M264" s="97">
        <v>1</v>
      </c>
      <c r="N264" s="99">
        <v>1</v>
      </c>
      <c r="O264" s="99">
        <v>2531613501</v>
      </c>
      <c r="P264" s="99" t="s">
        <v>47</v>
      </c>
      <c r="Q264" s="99">
        <v>1000</v>
      </c>
      <c r="R264" s="104">
        <v>1008</v>
      </c>
      <c r="S264" s="105" t="s">
        <v>0</v>
      </c>
    </row>
    <row r="265" spans="12:19" x14ac:dyDescent="0.25">
      <c r="L265" s="94">
        <v>45973</v>
      </c>
      <c r="M265" s="86">
        <v>1</v>
      </c>
      <c r="N265" s="100">
        <v>2</v>
      </c>
      <c r="O265" s="100">
        <v>2531613501</v>
      </c>
      <c r="P265" s="100" t="s">
        <v>47</v>
      </c>
      <c r="Q265" s="100">
        <v>1000</v>
      </c>
      <c r="R265" s="106">
        <v>1028</v>
      </c>
      <c r="S265" s="72" t="s">
        <v>0</v>
      </c>
    </row>
    <row r="266" spans="12:19" x14ac:dyDescent="0.25">
      <c r="L266" s="94">
        <v>45973</v>
      </c>
      <c r="M266" s="86">
        <v>1</v>
      </c>
      <c r="N266" s="100">
        <v>3</v>
      </c>
      <c r="O266" s="100">
        <v>2531613501</v>
      </c>
      <c r="P266" s="100" t="s">
        <v>47</v>
      </c>
      <c r="Q266" s="100">
        <v>1000</v>
      </c>
      <c r="R266" s="106">
        <v>1012</v>
      </c>
      <c r="S266" s="72" t="s">
        <v>0</v>
      </c>
    </row>
    <row r="267" spans="12:19" x14ac:dyDescent="0.25">
      <c r="L267" s="94">
        <v>45974</v>
      </c>
      <c r="M267" s="86">
        <v>1</v>
      </c>
      <c r="N267" s="100">
        <v>4</v>
      </c>
      <c r="O267" s="100">
        <v>2531613501</v>
      </c>
      <c r="P267" s="100" t="s">
        <v>47</v>
      </c>
      <c r="Q267" s="100">
        <v>1000</v>
      </c>
      <c r="R267" s="106">
        <v>1018</v>
      </c>
      <c r="S267" s="72" t="s">
        <v>0</v>
      </c>
    </row>
    <row r="268" spans="12:19" x14ac:dyDescent="0.25">
      <c r="L268" s="94">
        <v>45974</v>
      </c>
      <c r="M268" s="86">
        <v>1</v>
      </c>
      <c r="N268" s="100">
        <v>5</v>
      </c>
      <c r="O268" s="100">
        <v>2531613501</v>
      </c>
      <c r="P268" s="100" t="s">
        <v>47</v>
      </c>
      <c r="Q268" s="100">
        <v>1000</v>
      </c>
      <c r="R268" s="106">
        <v>1017</v>
      </c>
      <c r="S268" s="72" t="s">
        <v>0</v>
      </c>
    </row>
    <row r="269" spans="12:19" x14ac:dyDescent="0.25">
      <c r="L269" s="94">
        <v>45974</v>
      </c>
      <c r="M269" s="86">
        <v>1</v>
      </c>
      <c r="N269" s="100">
        <v>6</v>
      </c>
      <c r="O269" s="100">
        <v>2531613501</v>
      </c>
      <c r="P269" s="100" t="s">
        <v>47</v>
      </c>
      <c r="Q269" s="100">
        <v>1000</v>
      </c>
      <c r="R269" s="106">
        <v>1029</v>
      </c>
      <c r="S269" s="72" t="s">
        <v>0</v>
      </c>
    </row>
    <row r="270" spans="12:19" x14ac:dyDescent="0.25">
      <c r="L270" s="94">
        <v>45974</v>
      </c>
      <c r="M270" s="86">
        <v>1</v>
      </c>
      <c r="N270" s="100">
        <v>7</v>
      </c>
      <c r="O270" s="100">
        <v>2531613501</v>
      </c>
      <c r="P270" s="100" t="s">
        <v>47</v>
      </c>
      <c r="Q270" s="100">
        <v>1000</v>
      </c>
      <c r="R270" s="106">
        <v>1013</v>
      </c>
      <c r="S270" s="72" t="s">
        <v>0</v>
      </c>
    </row>
    <row r="271" spans="12:19" x14ac:dyDescent="0.25">
      <c r="L271" s="94">
        <v>45974</v>
      </c>
      <c r="M271" s="86">
        <v>1</v>
      </c>
      <c r="N271" s="100">
        <v>8</v>
      </c>
      <c r="O271" s="100">
        <v>2531613501</v>
      </c>
      <c r="P271" s="100" t="s">
        <v>47</v>
      </c>
      <c r="Q271" s="100">
        <v>1000</v>
      </c>
      <c r="R271" s="106">
        <v>1031</v>
      </c>
      <c r="S271" s="72" t="s">
        <v>0</v>
      </c>
    </row>
    <row r="272" spans="12:19" x14ac:dyDescent="0.25">
      <c r="L272" s="94">
        <v>45974</v>
      </c>
      <c r="M272" s="86">
        <v>1</v>
      </c>
      <c r="N272" s="100">
        <v>9</v>
      </c>
      <c r="O272" s="100">
        <v>2531613501</v>
      </c>
      <c r="P272" s="100" t="s">
        <v>47</v>
      </c>
      <c r="Q272" s="100">
        <v>1000</v>
      </c>
      <c r="R272" s="106">
        <v>1029</v>
      </c>
      <c r="S272" s="72" t="s">
        <v>0</v>
      </c>
    </row>
    <row r="273" spans="11:19" x14ac:dyDescent="0.25">
      <c r="L273" s="94">
        <v>45975</v>
      </c>
      <c r="M273" s="86">
        <v>1</v>
      </c>
      <c r="N273" s="100">
        <v>10</v>
      </c>
      <c r="O273" s="100">
        <v>2531613501</v>
      </c>
      <c r="P273" s="100" t="s">
        <v>47</v>
      </c>
      <c r="Q273" s="100">
        <v>1000</v>
      </c>
      <c r="R273" s="106">
        <v>1023</v>
      </c>
      <c r="S273" s="72" t="s">
        <v>0</v>
      </c>
    </row>
    <row r="274" spans="11:19" x14ac:dyDescent="0.25">
      <c r="L274" s="94">
        <v>45975</v>
      </c>
      <c r="M274" s="86">
        <v>1</v>
      </c>
      <c r="N274" s="100">
        <v>11</v>
      </c>
      <c r="O274" s="100">
        <v>2531613501</v>
      </c>
      <c r="P274" s="100" t="s">
        <v>47</v>
      </c>
      <c r="Q274" s="100">
        <v>1000</v>
      </c>
      <c r="R274" s="106">
        <v>1016</v>
      </c>
      <c r="S274" s="72" t="s">
        <v>0</v>
      </c>
    </row>
    <row r="275" spans="11:19" x14ac:dyDescent="0.25">
      <c r="L275" s="94">
        <v>45975</v>
      </c>
      <c r="M275" s="86">
        <v>1</v>
      </c>
      <c r="N275" s="100">
        <v>12</v>
      </c>
      <c r="O275" s="100">
        <v>2531613501</v>
      </c>
      <c r="P275" s="100" t="s">
        <v>47</v>
      </c>
      <c r="Q275" s="100">
        <v>1000</v>
      </c>
      <c r="R275" s="106">
        <v>1017</v>
      </c>
      <c r="S275" s="72" t="s">
        <v>0</v>
      </c>
    </row>
    <row r="276" spans="11:19" x14ac:dyDescent="0.25">
      <c r="L276" s="94">
        <v>45976</v>
      </c>
      <c r="M276" s="86">
        <v>1</v>
      </c>
      <c r="N276" s="100">
        <v>13</v>
      </c>
      <c r="O276" s="100">
        <v>2531613501</v>
      </c>
      <c r="P276" s="100" t="s">
        <v>47</v>
      </c>
      <c r="Q276" s="100">
        <v>1000</v>
      </c>
      <c r="R276" s="106">
        <v>1024</v>
      </c>
      <c r="S276" s="72" t="s">
        <v>0</v>
      </c>
    </row>
    <row r="277" spans="11:19" x14ac:dyDescent="0.25">
      <c r="L277" s="94">
        <v>45976</v>
      </c>
      <c r="M277" s="86">
        <v>1</v>
      </c>
      <c r="N277" s="100">
        <v>14</v>
      </c>
      <c r="O277" s="100">
        <v>2531613501</v>
      </c>
      <c r="P277" s="100" t="s">
        <v>47</v>
      </c>
      <c r="Q277" s="100">
        <v>1000</v>
      </c>
      <c r="R277" s="106">
        <v>1007</v>
      </c>
      <c r="S277" s="72" t="s">
        <v>0</v>
      </c>
    </row>
    <row r="278" spans="11:19" x14ac:dyDescent="0.25">
      <c r="L278" s="94">
        <v>45976</v>
      </c>
      <c r="M278" s="86">
        <v>1</v>
      </c>
      <c r="N278" s="100">
        <v>15</v>
      </c>
      <c r="O278" s="100">
        <v>2531613501</v>
      </c>
      <c r="P278" s="100" t="s">
        <v>47</v>
      </c>
      <c r="Q278" s="100">
        <v>1000</v>
      </c>
      <c r="R278" s="106">
        <v>1037</v>
      </c>
      <c r="S278" s="72" t="s">
        <v>0</v>
      </c>
    </row>
    <row r="279" spans="11:19" x14ac:dyDescent="0.25">
      <c r="L279" s="94">
        <v>45976</v>
      </c>
      <c r="M279" s="86">
        <v>1</v>
      </c>
      <c r="N279" s="100">
        <v>16</v>
      </c>
      <c r="O279" s="100">
        <v>2531613501</v>
      </c>
      <c r="P279" s="100" t="s">
        <v>47</v>
      </c>
      <c r="Q279" s="100">
        <v>1000</v>
      </c>
      <c r="R279" s="106">
        <v>994</v>
      </c>
      <c r="S279" s="72" t="s">
        <v>0</v>
      </c>
    </row>
    <row r="280" spans="11:19" x14ac:dyDescent="0.25">
      <c r="K280" s="21"/>
      <c r="L280" s="94">
        <v>45976</v>
      </c>
      <c r="M280" s="86">
        <v>1</v>
      </c>
      <c r="N280" s="100">
        <v>17</v>
      </c>
      <c r="O280" s="100">
        <v>2531613501</v>
      </c>
      <c r="P280" s="100" t="s">
        <v>47</v>
      </c>
      <c r="Q280" s="100">
        <v>1000</v>
      </c>
      <c r="R280" s="106">
        <v>1008</v>
      </c>
      <c r="S280" s="72" t="s">
        <v>0</v>
      </c>
    </row>
    <row r="281" spans="11:19" x14ac:dyDescent="0.25">
      <c r="K281" s="21"/>
      <c r="L281" s="94">
        <v>45976</v>
      </c>
      <c r="M281" s="86">
        <v>1</v>
      </c>
      <c r="N281" s="100">
        <v>18</v>
      </c>
      <c r="O281" s="100">
        <v>2531613501</v>
      </c>
      <c r="P281" s="100" t="s">
        <v>47</v>
      </c>
      <c r="Q281" s="100">
        <v>1000</v>
      </c>
      <c r="R281" s="106">
        <v>1003</v>
      </c>
      <c r="S281" s="72" t="s">
        <v>0</v>
      </c>
    </row>
    <row r="282" spans="11:19" x14ac:dyDescent="0.25">
      <c r="L282" s="94">
        <v>45976</v>
      </c>
      <c r="M282" s="86">
        <v>1</v>
      </c>
      <c r="N282" s="100">
        <v>19</v>
      </c>
      <c r="O282" s="100">
        <v>2531613501</v>
      </c>
      <c r="P282" s="100" t="s">
        <v>47</v>
      </c>
      <c r="Q282" s="100">
        <v>1000</v>
      </c>
      <c r="R282" s="106">
        <v>998</v>
      </c>
      <c r="S282" s="72" t="s">
        <v>0</v>
      </c>
    </row>
    <row r="283" spans="11:19" ht="15.75" thickBot="1" x14ac:dyDescent="0.3">
      <c r="L283" s="95">
        <v>45977</v>
      </c>
      <c r="M283" s="96">
        <v>1</v>
      </c>
      <c r="N283" s="101">
        <v>20</v>
      </c>
      <c r="O283" s="101">
        <v>2531613501</v>
      </c>
      <c r="P283" s="101" t="s">
        <v>47</v>
      </c>
      <c r="Q283" s="101">
        <v>1000</v>
      </c>
      <c r="R283" s="107">
        <v>1024</v>
      </c>
      <c r="S283" s="72" t="s">
        <v>0</v>
      </c>
    </row>
    <row r="284" spans="11:19" ht="15.75" thickTop="1" x14ac:dyDescent="0.25">
      <c r="L284" s="98">
        <v>45977</v>
      </c>
      <c r="M284" s="97">
        <v>1</v>
      </c>
      <c r="N284" s="99">
        <v>1</v>
      </c>
      <c r="O284" s="99">
        <v>2532013501</v>
      </c>
      <c r="P284" s="99" t="s">
        <v>47</v>
      </c>
      <c r="Q284" s="99">
        <v>1000</v>
      </c>
      <c r="R284" s="104">
        <v>1007</v>
      </c>
      <c r="S284" s="72" t="s">
        <v>0</v>
      </c>
    </row>
    <row r="285" spans="11:19" x14ac:dyDescent="0.25">
      <c r="L285" s="94">
        <v>45977</v>
      </c>
      <c r="M285" s="86">
        <v>1</v>
      </c>
      <c r="N285" s="100">
        <v>2</v>
      </c>
      <c r="O285" s="100">
        <v>2532013501</v>
      </c>
      <c r="P285" s="100" t="s">
        <v>47</v>
      </c>
      <c r="Q285" s="100">
        <v>1000</v>
      </c>
      <c r="R285" s="106">
        <v>1013</v>
      </c>
      <c r="S285" s="72" t="s">
        <v>0</v>
      </c>
    </row>
    <row r="286" spans="11:19" x14ac:dyDescent="0.25">
      <c r="L286" s="94">
        <v>45977</v>
      </c>
      <c r="M286" s="86">
        <v>1</v>
      </c>
      <c r="N286" s="100">
        <v>3</v>
      </c>
      <c r="O286" s="100">
        <v>2532013501</v>
      </c>
      <c r="P286" s="100" t="s">
        <v>47</v>
      </c>
      <c r="Q286" s="100">
        <v>1000</v>
      </c>
      <c r="R286" s="106">
        <v>1018</v>
      </c>
      <c r="S286" s="72" t="s">
        <v>0</v>
      </c>
    </row>
    <row r="287" spans="11:19" x14ac:dyDescent="0.25">
      <c r="L287" s="94">
        <v>45977</v>
      </c>
      <c r="M287" s="86">
        <v>1</v>
      </c>
      <c r="N287" s="100">
        <v>4</v>
      </c>
      <c r="O287" s="100">
        <v>2532013501</v>
      </c>
      <c r="P287" s="100" t="s">
        <v>47</v>
      </c>
      <c r="Q287" s="100">
        <v>1000</v>
      </c>
      <c r="R287" s="106">
        <v>1017</v>
      </c>
      <c r="S287" s="72" t="s">
        <v>0</v>
      </c>
    </row>
    <row r="288" spans="11:19" x14ac:dyDescent="0.25">
      <c r="L288" s="94">
        <v>45977</v>
      </c>
      <c r="M288" s="86">
        <v>1</v>
      </c>
      <c r="N288" s="100">
        <v>5</v>
      </c>
      <c r="O288" s="100">
        <v>2532013501</v>
      </c>
      <c r="P288" s="100" t="s">
        <v>47</v>
      </c>
      <c r="Q288" s="100">
        <v>1000</v>
      </c>
      <c r="R288" s="106">
        <v>1016</v>
      </c>
      <c r="S288" s="72" t="s">
        <v>0</v>
      </c>
    </row>
    <row r="289" spans="12:19" x14ac:dyDescent="0.25">
      <c r="L289" s="94">
        <v>45977</v>
      </c>
      <c r="M289" s="86">
        <v>1</v>
      </c>
      <c r="N289" s="100">
        <v>6</v>
      </c>
      <c r="O289" s="100">
        <v>2532013501</v>
      </c>
      <c r="P289" s="100" t="s">
        <v>47</v>
      </c>
      <c r="Q289" s="100">
        <v>1000</v>
      </c>
      <c r="R289" s="106">
        <v>1014</v>
      </c>
      <c r="S289" s="72" t="s">
        <v>0</v>
      </c>
    </row>
    <row r="290" spans="12:19" x14ac:dyDescent="0.25">
      <c r="L290" s="94">
        <v>45977</v>
      </c>
      <c r="M290" s="86">
        <v>1</v>
      </c>
      <c r="N290" s="100">
        <v>7</v>
      </c>
      <c r="O290" s="100">
        <v>2532013501</v>
      </c>
      <c r="P290" s="100" t="s">
        <v>47</v>
      </c>
      <c r="Q290" s="100">
        <v>1000</v>
      </c>
      <c r="R290" s="106">
        <v>1015</v>
      </c>
      <c r="S290" s="72" t="s">
        <v>0</v>
      </c>
    </row>
    <row r="291" spans="12:19" x14ac:dyDescent="0.25">
      <c r="L291" s="94">
        <v>45977</v>
      </c>
      <c r="M291" s="86">
        <v>1</v>
      </c>
      <c r="N291" s="100">
        <v>8</v>
      </c>
      <c r="O291" s="100">
        <v>2532013501</v>
      </c>
      <c r="P291" s="100" t="s">
        <v>47</v>
      </c>
      <c r="Q291" s="100">
        <v>1000</v>
      </c>
      <c r="R291" s="106">
        <v>1022</v>
      </c>
      <c r="S291" s="72" t="s">
        <v>0</v>
      </c>
    </row>
    <row r="292" spans="12:19" x14ac:dyDescent="0.25">
      <c r="L292" s="94">
        <v>45978</v>
      </c>
      <c r="M292" s="86">
        <v>1</v>
      </c>
      <c r="N292" s="100">
        <v>9</v>
      </c>
      <c r="O292" s="100">
        <v>2532013501</v>
      </c>
      <c r="P292" s="100" t="s">
        <v>47</v>
      </c>
      <c r="Q292" s="100">
        <v>1000</v>
      </c>
      <c r="R292" s="106">
        <v>1019</v>
      </c>
      <c r="S292" s="72" t="s">
        <v>0</v>
      </c>
    </row>
    <row r="293" spans="12:19" x14ac:dyDescent="0.25">
      <c r="L293" s="94">
        <v>45978</v>
      </c>
      <c r="M293" s="86">
        <v>1</v>
      </c>
      <c r="N293" s="100">
        <v>10</v>
      </c>
      <c r="O293" s="100">
        <v>2532013501</v>
      </c>
      <c r="P293" s="100" t="s">
        <v>47</v>
      </c>
      <c r="Q293" s="100">
        <v>1000</v>
      </c>
      <c r="R293" s="106">
        <v>1016</v>
      </c>
      <c r="S293" s="72" t="s">
        <v>0</v>
      </c>
    </row>
    <row r="294" spans="12:19" x14ac:dyDescent="0.25">
      <c r="L294" s="94">
        <v>45978</v>
      </c>
      <c r="M294" s="86">
        <v>1</v>
      </c>
      <c r="N294" s="100">
        <v>11</v>
      </c>
      <c r="O294" s="100">
        <v>2532013501</v>
      </c>
      <c r="P294" s="100" t="s">
        <v>47</v>
      </c>
      <c r="Q294" s="100">
        <v>1000</v>
      </c>
      <c r="R294" s="106">
        <v>1013</v>
      </c>
      <c r="S294" s="72" t="s">
        <v>0</v>
      </c>
    </row>
    <row r="295" spans="12:19" x14ac:dyDescent="0.25">
      <c r="L295" s="94">
        <v>45978</v>
      </c>
      <c r="M295" s="86">
        <v>1</v>
      </c>
      <c r="N295" s="100">
        <v>12</v>
      </c>
      <c r="O295" s="100">
        <v>2532013501</v>
      </c>
      <c r="P295" s="100" t="s">
        <v>47</v>
      </c>
      <c r="Q295" s="100">
        <v>1000</v>
      </c>
      <c r="R295" s="106">
        <v>1017</v>
      </c>
      <c r="S295" s="72" t="s">
        <v>0</v>
      </c>
    </row>
    <row r="296" spans="12:19" x14ac:dyDescent="0.25">
      <c r="L296" s="94">
        <v>45978</v>
      </c>
      <c r="M296" s="86">
        <v>1</v>
      </c>
      <c r="N296" s="100">
        <v>13</v>
      </c>
      <c r="O296" s="100">
        <v>2532013501</v>
      </c>
      <c r="P296" s="100" t="s">
        <v>47</v>
      </c>
      <c r="Q296" s="100">
        <v>1000</v>
      </c>
      <c r="R296" s="106">
        <v>1016</v>
      </c>
      <c r="S296" s="72" t="s">
        <v>0</v>
      </c>
    </row>
    <row r="297" spans="12:19" x14ac:dyDescent="0.25">
      <c r="L297" s="94">
        <v>45978</v>
      </c>
      <c r="M297" s="86">
        <v>1</v>
      </c>
      <c r="N297" s="100">
        <v>14</v>
      </c>
      <c r="O297" s="100">
        <v>2532013501</v>
      </c>
      <c r="P297" s="100" t="s">
        <v>47</v>
      </c>
      <c r="Q297" s="100">
        <v>1000</v>
      </c>
      <c r="R297" s="106">
        <v>1025</v>
      </c>
      <c r="S297" s="72" t="s">
        <v>0</v>
      </c>
    </row>
    <row r="298" spans="12:19" x14ac:dyDescent="0.25">
      <c r="L298" s="94">
        <v>45978</v>
      </c>
      <c r="M298" s="86">
        <v>1</v>
      </c>
      <c r="N298" s="100">
        <v>15</v>
      </c>
      <c r="O298" s="100">
        <v>2532013501</v>
      </c>
      <c r="P298" s="100" t="s">
        <v>47</v>
      </c>
      <c r="Q298" s="100">
        <v>1000</v>
      </c>
      <c r="R298" s="106">
        <v>1008</v>
      </c>
      <c r="S298" s="72" t="s">
        <v>0</v>
      </c>
    </row>
    <row r="299" spans="12:19" x14ac:dyDescent="0.25">
      <c r="L299" s="94">
        <v>45979</v>
      </c>
      <c r="M299" s="86">
        <v>1</v>
      </c>
      <c r="N299" s="100">
        <v>16</v>
      </c>
      <c r="O299" s="100">
        <v>2532013501</v>
      </c>
      <c r="P299" s="100" t="s">
        <v>47</v>
      </c>
      <c r="Q299" s="100">
        <v>1000</v>
      </c>
      <c r="R299" s="106">
        <v>1012</v>
      </c>
      <c r="S299" s="72" t="s">
        <v>0</v>
      </c>
    </row>
    <row r="300" spans="12:19" x14ac:dyDescent="0.25">
      <c r="L300" s="94">
        <v>45979</v>
      </c>
      <c r="M300" s="86">
        <v>1</v>
      </c>
      <c r="N300" s="100">
        <v>17</v>
      </c>
      <c r="O300" s="100">
        <v>2532013501</v>
      </c>
      <c r="P300" s="100" t="s">
        <v>47</v>
      </c>
      <c r="Q300" s="100">
        <v>1000</v>
      </c>
      <c r="R300" s="106">
        <v>1020</v>
      </c>
      <c r="S300" s="72" t="s">
        <v>0</v>
      </c>
    </row>
    <row r="301" spans="12:19" x14ac:dyDescent="0.25">
      <c r="L301" s="94">
        <v>45979</v>
      </c>
      <c r="M301" s="86">
        <v>1</v>
      </c>
      <c r="N301" s="100">
        <v>18</v>
      </c>
      <c r="O301" s="100">
        <v>2532013501</v>
      </c>
      <c r="P301" s="100" t="s">
        <v>47</v>
      </c>
      <c r="Q301" s="100">
        <v>1000</v>
      </c>
      <c r="R301" s="106">
        <v>1021</v>
      </c>
      <c r="S301" s="72" t="s">
        <v>0</v>
      </c>
    </row>
    <row r="302" spans="12:19" x14ac:dyDescent="0.25">
      <c r="L302" s="94">
        <v>45979</v>
      </c>
      <c r="M302" s="86">
        <v>1</v>
      </c>
      <c r="N302" s="100">
        <v>19</v>
      </c>
      <c r="O302" s="100">
        <v>2532013501</v>
      </c>
      <c r="P302" s="100" t="s">
        <v>47</v>
      </c>
      <c r="Q302" s="100">
        <v>1000</v>
      </c>
      <c r="R302" s="106">
        <v>1016</v>
      </c>
      <c r="S302" s="72" t="s">
        <v>0</v>
      </c>
    </row>
    <row r="303" spans="12:19" ht="15.75" thickBot="1" x14ac:dyDescent="0.3">
      <c r="L303" s="95">
        <v>45979</v>
      </c>
      <c r="M303" s="96">
        <v>1</v>
      </c>
      <c r="N303" s="101">
        <v>20</v>
      </c>
      <c r="O303" s="101">
        <v>2532013501</v>
      </c>
      <c r="P303" s="101" t="s">
        <v>47</v>
      </c>
      <c r="Q303" s="101">
        <v>1000</v>
      </c>
      <c r="R303" s="107">
        <v>1022</v>
      </c>
      <c r="S303" s="108" t="s">
        <v>0</v>
      </c>
    </row>
    <row r="304" spans="12:19" ht="15.75" thickTop="1" x14ac:dyDescent="0.25">
      <c r="L304" s="98">
        <v>45979</v>
      </c>
      <c r="M304" s="97">
        <v>1</v>
      </c>
      <c r="N304" s="99">
        <v>1</v>
      </c>
      <c r="O304" s="99">
        <v>2532213501</v>
      </c>
      <c r="P304" s="99" t="s">
        <v>47</v>
      </c>
      <c r="Q304" s="99">
        <v>1000</v>
      </c>
      <c r="R304" s="104">
        <v>1015</v>
      </c>
      <c r="S304" s="105" t="s">
        <v>0</v>
      </c>
    </row>
    <row r="305" spans="12:22" x14ac:dyDescent="0.25">
      <c r="L305" s="94">
        <v>45979</v>
      </c>
      <c r="M305" s="86">
        <v>1</v>
      </c>
      <c r="N305" s="100">
        <v>2</v>
      </c>
      <c r="O305" s="100">
        <v>2532213501</v>
      </c>
      <c r="P305" s="100" t="s">
        <v>47</v>
      </c>
      <c r="Q305" s="100">
        <v>1000</v>
      </c>
      <c r="R305" s="106">
        <v>1006</v>
      </c>
      <c r="S305" s="72" t="s">
        <v>0</v>
      </c>
    </row>
    <row r="306" spans="12:22" x14ac:dyDescent="0.25">
      <c r="L306" s="94">
        <v>45979</v>
      </c>
      <c r="M306" s="86">
        <v>1</v>
      </c>
      <c r="N306" s="100">
        <v>3</v>
      </c>
      <c r="O306" s="100">
        <v>2532213501</v>
      </c>
      <c r="P306" s="100" t="s">
        <v>47</v>
      </c>
      <c r="Q306" s="100">
        <v>1000</v>
      </c>
      <c r="R306" s="106">
        <v>1007</v>
      </c>
      <c r="S306" s="72" t="s">
        <v>0</v>
      </c>
    </row>
    <row r="307" spans="12:22" x14ac:dyDescent="0.25">
      <c r="L307" s="94">
        <v>45979</v>
      </c>
      <c r="M307" s="86">
        <v>1</v>
      </c>
      <c r="N307" s="100">
        <v>4</v>
      </c>
      <c r="O307" s="100">
        <v>2532213501</v>
      </c>
      <c r="P307" s="100" t="s">
        <v>47</v>
      </c>
      <c r="Q307" s="100">
        <v>1000</v>
      </c>
      <c r="R307" s="106">
        <v>1008</v>
      </c>
      <c r="S307" s="72" t="s">
        <v>0</v>
      </c>
    </row>
    <row r="308" spans="12:22" x14ac:dyDescent="0.25">
      <c r="L308" s="94">
        <v>45979</v>
      </c>
      <c r="M308" s="86">
        <v>1</v>
      </c>
      <c r="N308" s="100">
        <v>5</v>
      </c>
      <c r="O308" s="100">
        <v>2532213501</v>
      </c>
      <c r="P308" s="100" t="s">
        <v>47</v>
      </c>
      <c r="Q308" s="100">
        <v>1000</v>
      </c>
      <c r="R308" s="106">
        <v>1005</v>
      </c>
      <c r="S308" s="72" t="s">
        <v>0</v>
      </c>
    </row>
    <row r="309" spans="12:22" x14ac:dyDescent="0.25">
      <c r="L309" s="94">
        <v>45979</v>
      </c>
      <c r="M309" s="86">
        <v>1</v>
      </c>
      <c r="N309" s="100">
        <v>6</v>
      </c>
      <c r="O309" s="100">
        <v>2532213501</v>
      </c>
      <c r="P309" s="100" t="s">
        <v>47</v>
      </c>
      <c r="Q309" s="100">
        <v>1000</v>
      </c>
      <c r="R309" s="106">
        <v>1000</v>
      </c>
      <c r="S309" s="72" t="s">
        <v>0</v>
      </c>
    </row>
    <row r="310" spans="12:22" x14ac:dyDescent="0.25">
      <c r="L310" s="94">
        <v>45979</v>
      </c>
      <c r="M310" s="86">
        <v>1</v>
      </c>
      <c r="N310" s="100">
        <v>7</v>
      </c>
      <c r="O310" s="100">
        <v>2532213501</v>
      </c>
      <c r="P310" s="100" t="s">
        <v>47</v>
      </c>
      <c r="Q310" s="100">
        <v>1000</v>
      </c>
      <c r="R310" s="106">
        <v>1018</v>
      </c>
      <c r="S310" s="72" t="s">
        <v>0</v>
      </c>
    </row>
    <row r="311" spans="12:22" x14ac:dyDescent="0.25">
      <c r="L311" s="94">
        <v>45979</v>
      </c>
      <c r="M311" s="86">
        <v>1</v>
      </c>
      <c r="N311" s="100">
        <v>8</v>
      </c>
      <c r="O311" s="100">
        <v>2532213501</v>
      </c>
      <c r="P311" s="100" t="s">
        <v>47</v>
      </c>
      <c r="Q311" s="100">
        <v>1000</v>
      </c>
      <c r="R311" s="106">
        <v>1020</v>
      </c>
      <c r="S311" s="72" t="s">
        <v>0</v>
      </c>
    </row>
    <row r="312" spans="12:22" x14ac:dyDescent="0.25">
      <c r="L312" s="94">
        <v>45979</v>
      </c>
      <c r="M312" s="86">
        <v>1</v>
      </c>
      <c r="N312" s="100">
        <v>9</v>
      </c>
      <c r="O312" s="100">
        <v>2532213501</v>
      </c>
      <c r="P312" s="100" t="s">
        <v>47</v>
      </c>
      <c r="Q312" s="100">
        <v>1000</v>
      </c>
      <c r="R312" s="106">
        <v>1006</v>
      </c>
      <c r="S312" s="72" t="s">
        <v>0</v>
      </c>
    </row>
    <row r="313" spans="12:22" x14ac:dyDescent="0.25">
      <c r="L313" s="94">
        <v>45979</v>
      </c>
      <c r="M313" s="86">
        <v>1</v>
      </c>
      <c r="N313" s="100">
        <v>10</v>
      </c>
      <c r="O313" s="100">
        <v>2532213501</v>
      </c>
      <c r="P313" s="100" t="s">
        <v>47</v>
      </c>
      <c r="Q313" s="100">
        <v>1000</v>
      </c>
      <c r="R313" s="106">
        <v>984</v>
      </c>
      <c r="S313" s="72" t="s">
        <v>0</v>
      </c>
    </row>
    <row r="314" spans="12:22" x14ac:dyDescent="0.25">
      <c r="L314" s="94">
        <v>45980</v>
      </c>
      <c r="M314" s="86">
        <v>1</v>
      </c>
      <c r="N314" s="100">
        <v>11</v>
      </c>
      <c r="O314" s="100">
        <v>2532213501</v>
      </c>
      <c r="P314" s="100" t="s">
        <v>47</v>
      </c>
      <c r="Q314" s="100">
        <v>1000</v>
      </c>
      <c r="R314" s="106">
        <v>1050</v>
      </c>
      <c r="S314" s="72" t="s">
        <v>0</v>
      </c>
    </row>
    <row r="315" spans="12:22" x14ac:dyDescent="0.25">
      <c r="L315" s="94">
        <v>45980</v>
      </c>
      <c r="M315" s="86">
        <v>1</v>
      </c>
      <c r="N315" s="100">
        <v>12</v>
      </c>
      <c r="O315" s="100">
        <v>2532213501</v>
      </c>
      <c r="P315" s="100" t="s">
        <v>47</v>
      </c>
      <c r="Q315" s="100">
        <v>1000</v>
      </c>
      <c r="R315" s="106">
        <v>1022</v>
      </c>
      <c r="S315" s="72" t="s">
        <v>0</v>
      </c>
    </row>
    <row r="316" spans="12:22" x14ac:dyDescent="0.25">
      <c r="L316" s="94">
        <v>45980</v>
      </c>
      <c r="M316" s="86">
        <v>1</v>
      </c>
      <c r="N316" s="100">
        <v>13</v>
      </c>
      <c r="O316" s="100">
        <v>2532213501</v>
      </c>
      <c r="P316" s="100" t="s">
        <v>47</v>
      </c>
      <c r="Q316" s="100">
        <v>1000</v>
      </c>
      <c r="R316" s="106">
        <v>1019</v>
      </c>
      <c r="S316" s="72" t="s">
        <v>0</v>
      </c>
      <c r="V316" t="s">
        <v>49</v>
      </c>
    </row>
    <row r="317" spans="12:22" x14ac:dyDescent="0.25">
      <c r="L317" s="94">
        <v>45980</v>
      </c>
      <c r="M317" s="86">
        <v>1</v>
      </c>
      <c r="N317" s="100">
        <v>14</v>
      </c>
      <c r="O317" s="100">
        <v>2532213501</v>
      </c>
      <c r="P317" s="100" t="s">
        <v>47</v>
      </c>
      <c r="Q317" s="100">
        <v>1000</v>
      </c>
      <c r="R317" s="106">
        <v>1030</v>
      </c>
      <c r="S317" s="72" t="s">
        <v>0</v>
      </c>
    </row>
    <row r="318" spans="12:22" x14ac:dyDescent="0.25">
      <c r="L318" s="94">
        <v>45980</v>
      </c>
      <c r="M318" s="86">
        <v>1</v>
      </c>
      <c r="N318" s="100">
        <v>15</v>
      </c>
      <c r="O318" s="100">
        <v>2532213501</v>
      </c>
      <c r="P318" s="100" t="s">
        <v>47</v>
      </c>
      <c r="Q318" s="100">
        <v>1000</v>
      </c>
      <c r="R318" s="106">
        <v>1031</v>
      </c>
      <c r="S318" s="72" t="s">
        <v>0</v>
      </c>
    </row>
    <row r="319" spans="12:22" x14ac:dyDescent="0.25">
      <c r="L319" s="94">
        <v>45980</v>
      </c>
      <c r="M319" s="86">
        <v>1</v>
      </c>
      <c r="N319" s="100">
        <v>16</v>
      </c>
      <c r="O319" s="100">
        <v>2532213501</v>
      </c>
      <c r="P319" s="100" t="s">
        <v>47</v>
      </c>
      <c r="Q319" s="100">
        <v>1000</v>
      </c>
      <c r="R319" s="106">
        <v>1029</v>
      </c>
      <c r="S319" s="72" t="s">
        <v>0</v>
      </c>
    </row>
    <row r="320" spans="12:22" x14ac:dyDescent="0.25">
      <c r="L320" s="94">
        <v>45980</v>
      </c>
      <c r="M320" s="86">
        <v>1</v>
      </c>
      <c r="N320" s="100">
        <v>17</v>
      </c>
      <c r="O320" s="100">
        <v>2532213501</v>
      </c>
      <c r="P320" s="100" t="s">
        <v>47</v>
      </c>
      <c r="Q320" s="100">
        <v>1000</v>
      </c>
      <c r="R320" s="106">
        <v>1019</v>
      </c>
      <c r="S320" s="72" t="s">
        <v>0</v>
      </c>
    </row>
    <row r="321" spans="12:19" x14ac:dyDescent="0.25">
      <c r="L321" s="94">
        <v>45982</v>
      </c>
      <c r="M321" s="86">
        <v>1</v>
      </c>
      <c r="N321" s="100">
        <v>18</v>
      </c>
      <c r="O321" s="100">
        <v>2532213501</v>
      </c>
      <c r="P321" s="100" t="s">
        <v>47</v>
      </c>
      <c r="Q321" s="100">
        <v>1000</v>
      </c>
      <c r="R321" s="106">
        <v>1019</v>
      </c>
      <c r="S321" s="72" t="s">
        <v>0</v>
      </c>
    </row>
    <row r="322" spans="12:19" ht="15.75" thickBot="1" x14ac:dyDescent="0.3">
      <c r="L322" s="209">
        <v>45982</v>
      </c>
      <c r="M322" s="210">
        <v>1</v>
      </c>
      <c r="N322" s="211">
        <v>19</v>
      </c>
      <c r="O322" s="211">
        <v>2532213501</v>
      </c>
      <c r="P322" s="211" t="s">
        <v>47</v>
      </c>
      <c r="Q322" s="211">
        <v>1000</v>
      </c>
      <c r="R322" s="212">
        <v>1015</v>
      </c>
      <c r="S322" s="213" t="s">
        <v>0</v>
      </c>
    </row>
    <row r="323" spans="12:19" ht="15.75" thickTop="1" x14ac:dyDescent="0.25">
      <c r="L323" s="175">
        <v>45982</v>
      </c>
      <c r="M323" s="176">
        <v>1</v>
      </c>
      <c r="N323" s="214">
        <v>1</v>
      </c>
      <c r="O323" s="214">
        <v>2532513501</v>
      </c>
      <c r="P323" s="214" t="s">
        <v>47</v>
      </c>
      <c r="Q323" s="214">
        <v>1000</v>
      </c>
      <c r="R323" s="215">
        <v>1013</v>
      </c>
      <c r="S323" s="216" t="s">
        <v>0</v>
      </c>
    </row>
    <row r="324" spans="12:19" x14ac:dyDescent="0.25">
      <c r="L324" s="94">
        <v>45982</v>
      </c>
      <c r="M324" s="86">
        <v>1</v>
      </c>
      <c r="N324" s="100">
        <v>2</v>
      </c>
      <c r="O324" s="100">
        <v>2532513501</v>
      </c>
      <c r="P324" s="100" t="s">
        <v>47</v>
      </c>
      <c r="Q324" s="100">
        <v>1000</v>
      </c>
      <c r="R324" s="106">
        <v>1005</v>
      </c>
      <c r="S324" s="72" t="s">
        <v>0</v>
      </c>
    </row>
    <row r="325" spans="12:19" x14ac:dyDescent="0.25">
      <c r="L325" s="94">
        <v>45982</v>
      </c>
      <c r="M325" s="86">
        <v>1</v>
      </c>
      <c r="N325" s="100">
        <v>3</v>
      </c>
      <c r="O325" s="100">
        <v>2532513501</v>
      </c>
      <c r="P325" s="100" t="s">
        <v>47</v>
      </c>
      <c r="Q325" s="100">
        <v>1000</v>
      </c>
      <c r="R325" s="106">
        <v>1012</v>
      </c>
      <c r="S325" s="72" t="s">
        <v>0</v>
      </c>
    </row>
    <row r="326" spans="12:19" x14ac:dyDescent="0.25">
      <c r="L326" s="94">
        <v>45982</v>
      </c>
      <c r="M326" s="86">
        <v>1</v>
      </c>
      <c r="N326" s="100">
        <v>4</v>
      </c>
      <c r="O326" s="100">
        <v>2532513501</v>
      </c>
      <c r="P326" s="100" t="s">
        <v>47</v>
      </c>
      <c r="Q326" s="100">
        <v>1000</v>
      </c>
      <c r="R326" s="106">
        <v>1023</v>
      </c>
      <c r="S326" s="72" t="s">
        <v>0</v>
      </c>
    </row>
    <row r="327" spans="12:19" x14ac:dyDescent="0.25">
      <c r="L327" s="94">
        <v>45983</v>
      </c>
      <c r="M327" s="86">
        <v>1</v>
      </c>
      <c r="N327" s="100">
        <v>5</v>
      </c>
      <c r="O327" s="100">
        <v>2532513501</v>
      </c>
      <c r="P327" s="100" t="s">
        <v>47</v>
      </c>
      <c r="Q327" s="100">
        <v>1000</v>
      </c>
      <c r="R327" s="106">
        <v>1019</v>
      </c>
      <c r="S327" s="72" t="s">
        <v>0</v>
      </c>
    </row>
    <row r="328" spans="12:19" x14ac:dyDescent="0.25">
      <c r="L328" s="94">
        <v>45983</v>
      </c>
      <c r="M328" s="86">
        <v>1</v>
      </c>
      <c r="N328" s="100">
        <v>6</v>
      </c>
      <c r="O328" s="100">
        <v>2532513501</v>
      </c>
      <c r="P328" s="100" t="s">
        <v>47</v>
      </c>
      <c r="Q328" s="100">
        <v>1000</v>
      </c>
      <c r="R328" s="106">
        <v>1000</v>
      </c>
      <c r="S328" s="72" t="s">
        <v>0</v>
      </c>
    </row>
    <row r="329" spans="12:19" x14ac:dyDescent="0.25">
      <c r="L329" s="94">
        <v>45983</v>
      </c>
      <c r="M329" s="86">
        <v>1</v>
      </c>
      <c r="N329" s="100">
        <v>7</v>
      </c>
      <c r="O329" s="100">
        <v>2532513501</v>
      </c>
      <c r="P329" s="100" t="s">
        <v>47</v>
      </c>
      <c r="Q329" s="100">
        <v>1000</v>
      </c>
      <c r="R329" s="106">
        <v>994</v>
      </c>
      <c r="S329" s="72" t="s">
        <v>0</v>
      </c>
    </row>
    <row r="330" spans="12:19" x14ac:dyDescent="0.25">
      <c r="L330" s="94">
        <v>45983</v>
      </c>
      <c r="M330" s="86">
        <v>1</v>
      </c>
      <c r="N330" s="100">
        <v>8</v>
      </c>
      <c r="O330" s="100">
        <v>2532513501</v>
      </c>
      <c r="P330" s="100" t="s">
        <v>47</v>
      </c>
      <c r="Q330" s="100">
        <v>1000</v>
      </c>
      <c r="R330" s="106">
        <v>1032</v>
      </c>
      <c r="S330" s="72" t="s">
        <v>0</v>
      </c>
    </row>
    <row r="331" spans="12:19" x14ac:dyDescent="0.25">
      <c r="L331" s="94">
        <v>45983</v>
      </c>
      <c r="M331" s="86">
        <v>1</v>
      </c>
      <c r="N331" s="100">
        <v>9</v>
      </c>
      <c r="O331" s="100">
        <v>2532513501</v>
      </c>
      <c r="P331" s="100" t="s">
        <v>47</v>
      </c>
      <c r="Q331" s="100">
        <v>1000</v>
      </c>
      <c r="R331" s="106">
        <v>1002</v>
      </c>
      <c r="S331" s="72" t="s">
        <v>0</v>
      </c>
    </row>
    <row r="332" spans="12:19" x14ac:dyDescent="0.25">
      <c r="L332" s="94">
        <v>45983</v>
      </c>
      <c r="M332" s="86">
        <v>1</v>
      </c>
      <c r="N332" s="100">
        <v>10</v>
      </c>
      <c r="O332" s="100">
        <v>2532513501</v>
      </c>
      <c r="P332" s="100" t="s">
        <v>47</v>
      </c>
      <c r="Q332" s="100">
        <v>1000</v>
      </c>
      <c r="R332" s="106">
        <v>1029</v>
      </c>
      <c r="S332" s="72" t="s">
        <v>0</v>
      </c>
    </row>
    <row r="333" spans="12:19" x14ac:dyDescent="0.25">
      <c r="L333" s="94">
        <v>45984</v>
      </c>
      <c r="M333" s="86">
        <v>1</v>
      </c>
      <c r="N333" s="100">
        <v>11</v>
      </c>
      <c r="O333" s="100">
        <v>2532513501</v>
      </c>
      <c r="P333" s="100" t="s">
        <v>47</v>
      </c>
      <c r="Q333" s="100">
        <v>1000</v>
      </c>
      <c r="R333" s="106">
        <v>1020</v>
      </c>
      <c r="S333" s="72" t="s">
        <v>0</v>
      </c>
    </row>
    <row r="334" spans="12:19" x14ac:dyDescent="0.25">
      <c r="L334" s="94">
        <v>45984</v>
      </c>
      <c r="M334" s="86">
        <v>1</v>
      </c>
      <c r="N334" s="100">
        <v>12</v>
      </c>
      <c r="O334" s="100">
        <v>2532513501</v>
      </c>
      <c r="P334" s="100" t="s">
        <v>47</v>
      </c>
      <c r="Q334" s="100">
        <v>1000</v>
      </c>
      <c r="R334" s="106">
        <v>1020</v>
      </c>
      <c r="S334" s="72" t="s">
        <v>0</v>
      </c>
    </row>
    <row r="335" spans="12:19" x14ac:dyDescent="0.25">
      <c r="L335" s="94">
        <v>45984</v>
      </c>
      <c r="M335" s="86">
        <v>1</v>
      </c>
      <c r="N335" s="100">
        <v>13</v>
      </c>
      <c r="O335" s="100">
        <v>2532513501</v>
      </c>
      <c r="P335" s="100" t="s">
        <v>47</v>
      </c>
      <c r="Q335" s="100">
        <v>1000</v>
      </c>
      <c r="R335" s="106">
        <v>1016</v>
      </c>
      <c r="S335" s="72" t="s">
        <v>0</v>
      </c>
    </row>
    <row r="336" spans="12:19" x14ac:dyDescent="0.25">
      <c r="L336" s="94">
        <v>45984</v>
      </c>
      <c r="M336" s="86">
        <v>1</v>
      </c>
      <c r="N336" s="100">
        <v>14</v>
      </c>
      <c r="O336" s="100">
        <v>2532513501</v>
      </c>
      <c r="P336" s="100" t="s">
        <v>47</v>
      </c>
      <c r="Q336" s="100">
        <v>1000</v>
      </c>
      <c r="R336" s="106">
        <v>1016</v>
      </c>
      <c r="S336" s="72" t="s">
        <v>0</v>
      </c>
    </row>
    <row r="337" spans="12:19" x14ac:dyDescent="0.25">
      <c r="L337" s="94">
        <v>45984</v>
      </c>
      <c r="M337" s="86">
        <v>1</v>
      </c>
      <c r="N337" s="100">
        <v>16</v>
      </c>
      <c r="O337" s="100">
        <v>2532513501</v>
      </c>
      <c r="P337" s="100" t="s">
        <v>47</v>
      </c>
      <c r="Q337" s="100">
        <v>1000</v>
      </c>
      <c r="R337" s="106">
        <v>1006</v>
      </c>
      <c r="S337" s="72" t="s">
        <v>0</v>
      </c>
    </row>
    <row r="338" spans="12:19" x14ac:dyDescent="0.25">
      <c r="L338" s="94">
        <v>45984</v>
      </c>
      <c r="M338" s="86">
        <v>1</v>
      </c>
      <c r="N338" s="100">
        <v>17</v>
      </c>
      <c r="O338" s="100">
        <v>2532513501</v>
      </c>
      <c r="P338" s="100" t="s">
        <v>47</v>
      </c>
      <c r="Q338" s="100">
        <v>1000</v>
      </c>
      <c r="R338" s="106">
        <v>1018</v>
      </c>
      <c r="S338" s="72" t="s">
        <v>0</v>
      </c>
    </row>
    <row r="339" spans="12:19" x14ac:dyDescent="0.25">
      <c r="L339" s="94">
        <v>45984</v>
      </c>
      <c r="M339" s="86">
        <v>1</v>
      </c>
      <c r="N339" s="100">
        <v>18</v>
      </c>
      <c r="O339" s="100">
        <v>2532513501</v>
      </c>
      <c r="P339" s="100" t="s">
        <v>47</v>
      </c>
      <c r="Q339" s="100">
        <v>1000</v>
      </c>
      <c r="R339" s="106">
        <v>1023</v>
      </c>
      <c r="S339" s="72" t="s">
        <v>0</v>
      </c>
    </row>
    <row r="340" spans="12:19" x14ac:dyDescent="0.25">
      <c r="L340" s="94">
        <v>45984</v>
      </c>
      <c r="M340" s="86">
        <v>1</v>
      </c>
      <c r="N340" s="100">
        <v>19</v>
      </c>
      <c r="O340" s="100">
        <v>2532513501</v>
      </c>
      <c r="P340" s="100" t="s">
        <v>47</v>
      </c>
      <c r="Q340" s="100">
        <v>1000</v>
      </c>
      <c r="R340" s="106">
        <v>1005</v>
      </c>
      <c r="S340" s="72" t="s">
        <v>0</v>
      </c>
    </row>
    <row r="341" spans="12:19" ht="15.75" thickBot="1" x14ac:dyDescent="0.3">
      <c r="L341" s="95">
        <v>45984</v>
      </c>
      <c r="M341" s="96">
        <v>1</v>
      </c>
      <c r="N341" s="101">
        <v>20</v>
      </c>
      <c r="O341" s="101">
        <v>2532513501</v>
      </c>
      <c r="P341" s="101" t="s">
        <v>47</v>
      </c>
      <c r="Q341" s="101">
        <v>1000</v>
      </c>
      <c r="R341" s="107">
        <v>1020</v>
      </c>
      <c r="S341" s="108" t="s">
        <v>0</v>
      </c>
    </row>
    <row r="342" spans="12:19" ht="15.75" thickTop="1" x14ac:dyDescent="0.25">
      <c r="L342" s="98">
        <v>45985</v>
      </c>
      <c r="M342" s="97">
        <v>1</v>
      </c>
      <c r="N342" s="99">
        <v>1</v>
      </c>
      <c r="O342" s="99">
        <v>2532813501</v>
      </c>
      <c r="P342" s="99" t="s">
        <v>47</v>
      </c>
      <c r="Q342" s="99">
        <v>1000</v>
      </c>
      <c r="R342" s="104">
        <v>1010</v>
      </c>
      <c r="S342" s="105" t="s">
        <v>0</v>
      </c>
    </row>
    <row r="343" spans="12:19" x14ac:dyDescent="0.25">
      <c r="L343" s="94">
        <v>45987</v>
      </c>
      <c r="M343" s="86">
        <v>1</v>
      </c>
      <c r="N343" s="100">
        <v>2</v>
      </c>
      <c r="O343" s="100">
        <v>2532813501</v>
      </c>
      <c r="P343" s="100" t="s">
        <v>47</v>
      </c>
      <c r="Q343" s="100">
        <v>1000</v>
      </c>
      <c r="R343" s="106">
        <v>1030</v>
      </c>
      <c r="S343" s="72" t="s">
        <v>0</v>
      </c>
    </row>
    <row r="344" spans="12:19" x14ac:dyDescent="0.25">
      <c r="L344" s="94">
        <v>45988</v>
      </c>
      <c r="M344" s="86">
        <v>1</v>
      </c>
      <c r="N344" s="100">
        <v>3</v>
      </c>
      <c r="O344" s="100">
        <v>2532813501</v>
      </c>
      <c r="P344" s="100" t="s">
        <v>47</v>
      </c>
      <c r="Q344" s="100">
        <v>1000</v>
      </c>
      <c r="R344" s="106">
        <v>1041</v>
      </c>
      <c r="S344" s="72" t="s">
        <v>0</v>
      </c>
    </row>
    <row r="345" spans="12:19" x14ac:dyDescent="0.25">
      <c r="L345" s="94">
        <v>45988</v>
      </c>
      <c r="M345" s="86">
        <v>1</v>
      </c>
      <c r="N345" s="100">
        <v>4</v>
      </c>
      <c r="O345" s="100">
        <v>2532813501</v>
      </c>
      <c r="P345" s="100" t="s">
        <v>47</v>
      </c>
      <c r="Q345" s="100">
        <v>1000</v>
      </c>
      <c r="R345" s="106">
        <v>1019</v>
      </c>
      <c r="S345" s="72" t="s">
        <v>0</v>
      </c>
    </row>
    <row r="346" spans="12:19" x14ac:dyDescent="0.25">
      <c r="L346" s="94">
        <v>45988</v>
      </c>
      <c r="M346" s="86">
        <v>1</v>
      </c>
      <c r="N346" s="100">
        <v>5</v>
      </c>
      <c r="O346" s="100">
        <v>2532813501</v>
      </c>
      <c r="P346" s="100" t="s">
        <v>47</v>
      </c>
      <c r="Q346" s="100">
        <v>1000</v>
      </c>
      <c r="R346" s="106">
        <v>1029</v>
      </c>
      <c r="S346" s="72" t="s">
        <v>0</v>
      </c>
    </row>
    <row r="347" spans="12:19" x14ac:dyDescent="0.25">
      <c r="L347" s="94">
        <v>45988</v>
      </c>
      <c r="M347" s="86">
        <v>1</v>
      </c>
      <c r="N347" s="100">
        <v>6</v>
      </c>
      <c r="O347" s="100">
        <v>2532813501</v>
      </c>
      <c r="P347" s="100" t="s">
        <v>47</v>
      </c>
      <c r="Q347" s="100">
        <v>1000</v>
      </c>
      <c r="R347" s="106">
        <v>1022</v>
      </c>
      <c r="S347" s="72" t="s">
        <v>0</v>
      </c>
    </row>
    <row r="348" spans="12:19" x14ac:dyDescent="0.25">
      <c r="L348" s="94">
        <v>45988</v>
      </c>
      <c r="M348" s="86">
        <v>1</v>
      </c>
      <c r="N348" s="100">
        <v>7</v>
      </c>
      <c r="O348" s="100">
        <v>2532813501</v>
      </c>
      <c r="P348" s="100" t="s">
        <v>47</v>
      </c>
      <c r="Q348" s="100">
        <v>1000</v>
      </c>
      <c r="R348" s="106">
        <v>1019</v>
      </c>
      <c r="S348" s="72" t="s">
        <v>0</v>
      </c>
    </row>
    <row r="349" spans="12:19" x14ac:dyDescent="0.25">
      <c r="L349" s="94">
        <v>45988</v>
      </c>
      <c r="M349" s="86">
        <v>1</v>
      </c>
      <c r="N349" s="100">
        <v>8</v>
      </c>
      <c r="O349" s="100">
        <v>2532813501</v>
      </c>
      <c r="P349" s="100" t="s">
        <v>47</v>
      </c>
      <c r="Q349" s="100">
        <v>1000</v>
      </c>
      <c r="R349" s="106">
        <v>1032</v>
      </c>
      <c r="S349" s="72" t="s">
        <v>0</v>
      </c>
    </row>
    <row r="350" spans="12:19" x14ac:dyDescent="0.25">
      <c r="L350" s="94">
        <v>45988</v>
      </c>
      <c r="M350" s="86">
        <v>1</v>
      </c>
      <c r="N350" s="100">
        <v>9</v>
      </c>
      <c r="O350" s="100">
        <v>2532813501</v>
      </c>
      <c r="P350" s="100" t="s">
        <v>47</v>
      </c>
      <c r="Q350" s="100">
        <v>1000</v>
      </c>
      <c r="R350" s="106">
        <v>1003</v>
      </c>
      <c r="S350" s="72" t="s">
        <v>0</v>
      </c>
    </row>
    <row r="351" spans="12:19" x14ac:dyDescent="0.25">
      <c r="L351" s="94">
        <v>45988</v>
      </c>
      <c r="M351" s="86">
        <v>1</v>
      </c>
      <c r="N351" s="100">
        <v>10</v>
      </c>
      <c r="O351" s="100">
        <v>2532813501</v>
      </c>
      <c r="P351" s="100" t="s">
        <v>47</v>
      </c>
      <c r="Q351" s="100">
        <v>1000</v>
      </c>
      <c r="R351" s="106">
        <v>1001</v>
      </c>
      <c r="S351" s="72" t="s">
        <v>0</v>
      </c>
    </row>
    <row r="352" spans="12:19" x14ac:dyDescent="0.25">
      <c r="L352" s="94">
        <v>45988</v>
      </c>
      <c r="M352" s="86">
        <v>1</v>
      </c>
      <c r="N352" s="100">
        <v>11</v>
      </c>
      <c r="O352" s="100">
        <v>2532813501</v>
      </c>
      <c r="P352" s="100" t="s">
        <v>47</v>
      </c>
      <c r="Q352" s="100">
        <v>1000</v>
      </c>
      <c r="R352" s="106">
        <v>1023</v>
      </c>
      <c r="S352" s="72" t="s">
        <v>0</v>
      </c>
    </row>
    <row r="353" spans="11:19" x14ac:dyDescent="0.25">
      <c r="L353" s="94">
        <v>45989</v>
      </c>
      <c r="M353" s="86">
        <v>1</v>
      </c>
      <c r="N353" s="100">
        <v>12</v>
      </c>
      <c r="O353" s="100">
        <v>2532813501</v>
      </c>
      <c r="P353" s="100" t="s">
        <v>47</v>
      </c>
      <c r="Q353" s="100">
        <v>1000</v>
      </c>
      <c r="R353" s="106">
        <v>1020</v>
      </c>
      <c r="S353" s="72" t="s">
        <v>0</v>
      </c>
    </row>
    <row r="354" spans="11:19" x14ac:dyDescent="0.25">
      <c r="L354" s="94">
        <v>45989</v>
      </c>
      <c r="M354" s="86">
        <v>1</v>
      </c>
      <c r="N354" s="100">
        <v>13</v>
      </c>
      <c r="O354" s="100">
        <v>2532813501</v>
      </c>
      <c r="P354" s="100" t="s">
        <v>47</v>
      </c>
      <c r="Q354" s="100">
        <v>1000</v>
      </c>
      <c r="R354" s="106">
        <v>1012</v>
      </c>
      <c r="S354" s="72" t="s">
        <v>0</v>
      </c>
    </row>
    <row r="355" spans="11:19" x14ac:dyDescent="0.25">
      <c r="L355" s="94">
        <v>45989</v>
      </c>
      <c r="M355" s="86">
        <v>1</v>
      </c>
      <c r="N355" s="100">
        <v>14</v>
      </c>
      <c r="O355" s="100">
        <v>2532813501</v>
      </c>
      <c r="P355" s="100" t="s">
        <v>47</v>
      </c>
      <c r="Q355" s="100">
        <v>1000</v>
      </c>
      <c r="R355" s="106">
        <v>1020</v>
      </c>
      <c r="S355" s="72" t="s">
        <v>0</v>
      </c>
    </row>
    <row r="356" spans="11:19" x14ac:dyDescent="0.25">
      <c r="L356" s="94">
        <v>45989</v>
      </c>
      <c r="M356" s="86">
        <v>1</v>
      </c>
      <c r="N356" s="100">
        <v>15</v>
      </c>
      <c r="O356" s="100">
        <v>2532813501</v>
      </c>
      <c r="P356" s="100" t="s">
        <v>47</v>
      </c>
      <c r="Q356" s="100">
        <v>1000</v>
      </c>
      <c r="R356" s="106">
        <v>1023</v>
      </c>
      <c r="S356" s="72" t="s">
        <v>0</v>
      </c>
    </row>
    <row r="357" spans="11:19" x14ac:dyDescent="0.25">
      <c r="L357" s="94">
        <v>45989</v>
      </c>
      <c r="M357" s="86">
        <v>1</v>
      </c>
      <c r="N357" s="100">
        <v>16</v>
      </c>
      <c r="O357" s="100">
        <v>2532813501</v>
      </c>
      <c r="P357" s="100" t="s">
        <v>47</v>
      </c>
      <c r="Q357" s="100">
        <v>1000</v>
      </c>
      <c r="R357" s="106">
        <v>1012</v>
      </c>
      <c r="S357" s="72" t="s">
        <v>0</v>
      </c>
    </row>
    <row r="358" spans="11:19" x14ac:dyDescent="0.25">
      <c r="L358" s="94">
        <v>45989</v>
      </c>
      <c r="M358" s="86">
        <v>1</v>
      </c>
      <c r="N358" s="100">
        <v>17</v>
      </c>
      <c r="O358" s="100">
        <v>2532813501</v>
      </c>
      <c r="P358" s="100" t="s">
        <v>47</v>
      </c>
      <c r="Q358" s="100">
        <v>1000</v>
      </c>
      <c r="R358" s="106">
        <v>1023</v>
      </c>
      <c r="S358" s="72" t="s">
        <v>0</v>
      </c>
    </row>
    <row r="359" spans="11:19" x14ac:dyDescent="0.25">
      <c r="L359" s="94">
        <v>45989</v>
      </c>
      <c r="M359" s="86">
        <v>1</v>
      </c>
      <c r="N359" s="100">
        <v>18</v>
      </c>
      <c r="O359" s="100">
        <v>2532813501</v>
      </c>
      <c r="P359" s="100" t="s">
        <v>47</v>
      </c>
      <c r="Q359" s="100">
        <v>1000</v>
      </c>
      <c r="R359" s="106">
        <v>1015</v>
      </c>
      <c r="S359" s="72" t="s">
        <v>0</v>
      </c>
    </row>
    <row r="360" spans="11:19" ht="15.75" thickBot="1" x14ac:dyDescent="0.3">
      <c r="L360" s="95">
        <v>45990</v>
      </c>
      <c r="M360" s="96">
        <v>1</v>
      </c>
      <c r="N360" s="101">
        <v>19</v>
      </c>
      <c r="O360" s="101">
        <v>2532813501</v>
      </c>
      <c r="P360" s="101" t="s">
        <v>47</v>
      </c>
      <c r="Q360" s="101">
        <v>1000</v>
      </c>
      <c r="R360" s="107">
        <v>1020</v>
      </c>
      <c r="S360" s="108" t="s">
        <v>0</v>
      </c>
    </row>
    <row r="361" spans="11:19" ht="15.75" thickTop="1" x14ac:dyDescent="0.25">
      <c r="L361" s="98">
        <v>45990</v>
      </c>
      <c r="M361" s="97">
        <v>1</v>
      </c>
      <c r="N361" s="99">
        <v>1</v>
      </c>
      <c r="O361" s="99">
        <v>2533313501</v>
      </c>
      <c r="P361" s="99" t="s">
        <v>47</v>
      </c>
      <c r="Q361" s="99">
        <v>1000</v>
      </c>
      <c r="R361" s="104">
        <v>997</v>
      </c>
      <c r="S361" s="105" t="s">
        <v>0</v>
      </c>
    </row>
    <row r="362" spans="11:19" x14ac:dyDescent="0.25">
      <c r="L362" s="94">
        <v>45990</v>
      </c>
      <c r="M362" s="86">
        <v>1</v>
      </c>
      <c r="N362" s="100">
        <v>2</v>
      </c>
      <c r="O362" s="100">
        <v>2533313501</v>
      </c>
      <c r="P362" s="100" t="s">
        <v>47</v>
      </c>
      <c r="Q362" s="100">
        <v>1000</v>
      </c>
      <c r="R362" s="106">
        <v>1027</v>
      </c>
      <c r="S362" s="72" t="s">
        <v>0</v>
      </c>
    </row>
    <row r="363" spans="11:19" x14ac:dyDescent="0.25">
      <c r="L363" s="94">
        <v>45990</v>
      </c>
      <c r="M363" s="86">
        <v>1</v>
      </c>
      <c r="N363" s="100">
        <v>4</v>
      </c>
      <c r="O363" s="100">
        <v>2533313501</v>
      </c>
      <c r="P363" s="100" t="s">
        <v>47</v>
      </c>
      <c r="Q363" s="100">
        <v>1000</v>
      </c>
      <c r="R363" s="106">
        <v>1026</v>
      </c>
      <c r="S363" s="72" t="s">
        <v>0</v>
      </c>
    </row>
    <row r="364" spans="11:19" x14ac:dyDescent="0.25">
      <c r="L364" s="94">
        <v>45990</v>
      </c>
      <c r="M364" s="86">
        <v>1</v>
      </c>
      <c r="N364" s="100">
        <v>5</v>
      </c>
      <c r="O364" s="100">
        <v>2533313501</v>
      </c>
      <c r="P364" s="100" t="s">
        <v>47</v>
      </c>
      <c r="Q364" s="100">
        <v>1000</v>
      </c>
      <c r="R364" s="106">
        <v>1015</v>
      </c>
      <c r="S364" s="72" t="s">
        <v>0</v>
      </c>
    </row>
    <row r="365" spans="11:19" x14ac:dyDescent="0.25">
      <c r="L365" s="94">
        <v>45990</v>
      </c>
      <c r="M365" s="86">
        <v>1</v>
      </c>
      <c r="N365" s="100">
        <v>6</v>
      </c>
      <c r="O365" s="100">
        <v>2533313501</v>
      </c>
      <c r="P365" s="100" t="s">
        <v>47</v>
      </c>
      <c r="Q365" s="100">
        <v>1000</v>
      </c>
      <c r="R365" s="106">
        <v>1020</v>
      </c>
      <c r="S365" s="72" t="s">
        <v>0</v>
      </c>
    </row>
    <row r="366" spans="11:19" x14ac:dyDescent="0.25">
      <c r="L366" s="118">
        <v>45991</v>
      </c>
      <c r="M366" s="86">
        <v>1</v>
      </c>
      <c r="N366" s="100">
        <v>7</v>
      </c>
      <c r="O366" s="100">
        <v>2533313501</v>
      </c>
      <c r="P366" s="100" t="s">
        <v>47</v>
      </c>
      <c r="Q366" s="100">
        <v>1000</v>
      </c>
      <c r="R366" s="106">
        <v>1025</v>
      </c>
      <c r="S366" s="72" t="s">
        <v>0</v>
      </c>
    </row>
    <row r="367" spans="11:19" x14ac:dyDescent="0.25">
      <c r="K367" s="117"/>
      <c r="L367" s="94">
        <v>45991</v>
      </c>
      <c r="M367" s="86">
        <v>1</v>
      </c>
      <c r="N367" s="100">
        <v>8</v>
      </c>
      <c r="O367" s="100">
        <v>2533313501</v>
      </c>
      <c r="P367" s="100" t="s">
        <v>47</v>
      </c>
      <c r="Q367" s="100">
        <v>1000</v>
      </c>
      <c r="R367" s="106">
        <v>998</v>
      </c>
      <c r="S367" s="72" t="s">
        <v>0</v>
      </c>
    </row>
    <row r="368" spans="11:19" x14ac:dyDescent="0.25">
      <c r="L368" s="94">
        <v>45991</v>
      </c>
      <c r="M368" s="86">
        <v>1</v>
      </c>
      <c r="N368" s="100">
        <v>9</v>
      </c>
      <c r="O368" s="100">
        <v>2533313501</v>
      </c>
      <c r="P368" s="100" t="s">
        <v>47</v>
      </c>
      <c r="Q368" s="100">
        <v>1000</v>
      </c>
      <c r="R368" s="106">
        <v>1016</v>
      </c>
      <c r="S368" s="72" t="s">
        <v>0</v>
      </c>
    </row>
    <row r="369" spans="12:19" x14ac:dyDescent="0.25">
      <c r="L369" s="94">
        <v>45991</v>
      </c>
      <c r="M369" s="86">
        <v>1</v>
      </c>
      <c r="N369" s="100">
        <v>10</v>
      </c>
      <c r="O369" s="100">
        <v>2533313501</v>
      </c>
      <c r="P369" s="100" t="s">
        <v>47</v>
      </c>
      <c r="Q369" s="100">
        <v>1000</v>
      </c>
      <c r="R369" s="106">
        <v>1027</v>
      </c>
      <c r="S369" s="72" t="s">
        <v>0</v>
      </c>
    </row>
    <row r="370" spans="12:19" x14ac:dyDescent="0.25">
      <c r="L370" s="94">
        <v>45991</v>
      </c>
      <c r="M370" s="86">
        <v>1</v>
      </c>
      <c r="N370" s="100">
        <v>11</v>
      </c>
      <c r="O370" s="100">
        <v>2533313501</v>
      </c>
      <c r="P370" s="100" t="s">
        <v>47</v>
      </c>
      <c r="Q370" s="100">
        <v>1000</v>
      </c>
      <c r="R370" s="106">
        <v>982</v>
      </c>
      <c r="S370" s="72" t="s">
        <v>0</v>
      </c>
    </row>
    <row r="371" spans="12:19" x14ac:dyDescent="0.25">
      <c r="L371" s="94">
        <v>45991</v>
      </c>
      <c r="M371" s="86">
        <v>1</v>
      </c>
      <c r="N371" s="100">
        <v>12</v>
      </c>
      <c r="O371" s="100">
        <v>2533313501</v>
      </c>
      <c r="P371" s="100" t="s">
        <v>47</v>
      </c>
      <c r="Q371" s="100">
        <v>1000</v>
      </c>
      <c r="R371" s="106">
        <v>1021</v>
      </c>
      <c r="S371" s="72" t="s">
        <v>0</v>
      </c>
    </row>
    <row r="372" spans="12:19" x14ac:dyDescent="0.25">
      <c r="L372" s="94">
        <v>45992</v>
      </c>
      <c r="M372" s="86">
        <v>1</v>
      </c>
      <c r="N372" s="100">
        <v>13</v>
      </c>
      <c r="O372" s="100">
        <v>2533313501</v>
      </c>
      <c r="P372" s="100" t="s">
        <v>47</v>
      </c>
      <c r="Q372" s="100">
        <v>1000</v>
      </c>
      <c r="R372" s="106">
        <v>1018</v>
      </c>
      <c r="S372" s="72" t="s">
        <v>0</v>
      </c>
    </row>
    <row r="373" spans="12:19" x14ac:dyDescent="0.25">
      <c r="L373" s="94">
        <v>45992</v>
      </c>
      <c r="M373" s="86">
        <v>1</v>
      </c>
      <c r="N373" s="100">
        <v>14</v>
      </c>
      <c r="O373" s="100">
        <v>2533313501</v>
      </c>
      <c r="P373" s="100" t="s">
        <v>47</v>
      </c>
      <c r="Q373" s="100">
        <v>1000</v>
      </c>
      <c r="R373" s="106">
        <v>1020</v>
      </c>
      <c r="S373" s="72" t="s">
        <v>0</v>
      </c>
    </row>
    <row r="374" spans="12:19" x14ac:dyDescent="0.25">
      <c r="L374" s="94">
        <v>46010</v>
      </c>
      <c r="M374" s="86">
        <v>1</v>
      </c>
      <c r="N374" s="100">
        <v>15</v>
      </c>
      <c r="O374" s="100">
        <v>2533313501</v>
      </c>
      <c r="P374" s="100" t="s">
        <v>47</v>
      </c>
      <c r="Q374" s="100">
        <v>1000</v>
      </c>
      <c r="R374" s="106">
        <v>1081</v>
      </c>
      <c r="S374" s="72" t="s">
        <v>0</v>
      </c>
    </row>
    <row r="375" spans="12:19" x14ac:dyDescent="0.25">
      <c r="L375" s="94">
        <v>46010</v>
      </c>
      <c r="M375" s="86">
        <v>1</v>
      </c>
      <c r="N375" s="100">
        <v>16</v>
      </c>
      <c r="O375" s="100">
        <v>2533313501</v>
      </c>
      <c r="P375" s="100" t="s">
        <v>47</v>
      </c>
      <c r="Q375" s="100">
        <v>1000</v>
      </c>
      <c r="R375" s="106">
        <v>1020</v>
      </c>
      <c r="S375" s="72" t="s">
        <v>0</v>
      </c>
    </row>
    <row r="376" spans="12:19" x14ac:dyDescent="0.25">
      <c r="L376" s="94">
        <v>46021</v>
      </c>
      <c r="M376" s="86">
        <v>1</v>
      </c>
      <c r="N376" s="100">
        <v>17</v>
      </c>
      <c r="O376" s="100">
        <v>2533313501</v>
      </c>
      <c r="P376" s="100" t="s">
        <v>47</v>
      </c>
      <c r="Q376" s="100">
        <v>1000</v>
      </c>
      <c r="R376" s="106">
        <v>1004</v>
      </c>
      <c r="S376" s="72" t="s">
        <v>0</v>
      </c>
    </row>
    <row r="377" spans="12:19" x14ac:dyDescent="0.25">
      <c r="L377" s="94">
        <v>46021</v>
      </c>
      <c r="M377" s="86">
        <v>1</v>
      </c>
      <c r="N377" s="100">
        <v>18</v>
      </c>
      <c r="O377" s="100">
        <v>2533313501</v>
      </c>
      <c r="P377" s="100" t="s">
        <v>47</v>
      </c>
      <c r="Q377" s="100">
        <v>1000</v>
      </c>
      <c r="R377" s="106">
        <v>998</v>
      </c>
      <c r="S377" s="72" t="s">
        <v>0</v>
      </c>
    </row>
    <row r="378" spans="12:19" x14ac:dyDescent="0.25">
      <c r="L378" s="94">
        <v>46021</v>
      </c>
      <c r="M378" s="86">
        <v>1</v>
      </c>
      <c r="N378" s="100">
        <v>19</v>
      </c>
      <c r="O378" s="100">
        <v>2533313501</v>
      </c>
      <c r="P378" s="100" t="s">
        <v>47</v>
      </c>
      <c r="Q378" s="100">
        <v>1000</v>
      </c>
      <c r="R378" s="106">
        <v>1027</v>
      </c>
      <c r="S378" s="72" t="s">
        <v>0</v>
      </c>
    </row>
    <row r="379" spans="12:19" ht="15.75" thickBot="1" x14ac:dyDescent="0.3">
      <c r="L379" s="95">
        <v>46021</v>
      </c>
      <c r="M379" s="96">
        <v>1</v>
      </c>
      <c r="N379" s="101">
        <v>20</v>
      </c>
      <c r="O379" s="101">
        <v>2533313501</v>
      </c>
      <c r="P379" s="101" t="s">
        <v>47</v>
      </c>
      <c r="Q379" s="101">
        <v>1000</v>
      </c>
      <c r="R379" s="107">
        <v>1010</v>
      </c>
      <c r="S379" s="108" t="s">
        <v>0</v>
      </c>
    </row>
    <row r="380" spans="12:19" ht="15.75" thickTop="1" x14ac:dyDescent="0.25">
      <c r="L380" s="98">
        <v>46011</v>
      </c>
      <c r="M380" s="97">
        <v>1</v>
      </c>
      <c r="N380" s="99">
        <v>1</v>
      </c>
      <c r="O380" s="99">
        <v>2535413501</v>
      </c>
      <c r="P380" s="99" t="s">
        <v>47</v>
      </c>
      <c r="Q380" s="99">
        <v>1000</v>
      </c>
      <c r="R380" s="104">
        <v>1026</v>
      </c>
      <c r="S380" s="105" t="s">
        <v>0</v>
      </c>
    </row>
    <row r="381" spans="12:19" x14ac:dyDescent="0.25">
      <c r="L381" s="94">
        <v>46011</v>
      </c>
      <c r="M381" s="86">
        <v>1</v>
      </c>
      <c r="N381" s="100">
        <v>2</v>
      </c>
      <c r="O381" s="100">
        <v>2535413501</v>
      </c>
      <c r="P381" s="100" t="s">
        <v>47</v>
      </c>
      <c r="Q381" s="100">
        <v>1000</v>
      </c>
      <c r="R381" s="106">
        <v>1022</v>
      </c>
      <c r="S381" s="72" t="s">
        <v>0</v>
      </c>
    </row>
    <row r="382" spans="12:19" x14ac:dyDescent="0.25">
      <c r="L382" s="94">
        <v>46012</v>
      </c>
      <c r="M382" s="86">
        <v>1</v>
      </c>
      <c r="N382" s="100">
        <v>3</v>
      </c>
      <c r="O382" s="100">
        <v>2535413501</v>
      </c>
      <c r="P382" s="100" t="s">
        <v>47</v>
      </c>
      <c r="Q382" s="100">
        <v>1000</v>
      </c>
      <c r="R382" s="106">
        <v>1007</v>
      </c>
      <c r="S382" s="72" t="s">
        <v>0</v>
      </c>
    </row>
    <row r="383" spans="12:19" x14ac:dyDescent="0.25">
      <c r="L383" s="94">
        <v>46012</v>
      </c>
      <c r="M383" s="86">
        <v>1</v>
      </c>
      <c r="N383" s="100">
        <v>4</v>
      </c>
      <c r="O383" s="100">
        <v>2535413501</v>
      </c>
      <c r="P383" s="100" t="s">
        <v>47</v>
      </c>
      <c r="Q383" s="100">
        <v>1000</v>
      </c>
      <c r="R383" s="106">
        <v>1003</v>
      </c>
      <c r="S383" s="72" t="s">
        <v>0</v>
      </c>
    </row>
    <row r="384" spans="12:19" x14ac:dyDescent="0.25">
      <c r="L384" s="94">
        <v>46012</v>
      </c>
      <c r="M384" s="86">
        <v>1</v>
      </c>
      <c r="N384" s="100">
        <v>5</v>
      </c>
      <c r="O384" s="100">
        <v>2535413501</v>
      </c>
      <c r="P384" s="100" t="s">
        <v>47</v>
      </c>
      <c r="Q384" s="100">
        <v>1000</v>
      </c>
      <c r="R384" s="106">
        <v>1005</v>
      </c>
      <c r="S384" s="72" t="s">
        <v>0</v>
      </c>
    </row>
    <row r="385" spans="12:19" x14ac:dyDescent="0.25">
      <c r="L385" s="94">
        <v>46012</v>
      </c>
      <c r="M385" s="86">
        <v>1</v>
      </c>
      <c r="N385" s="100">
        <v>6</v>
      </c>
      <c r="O385" s="100">
        <v>2535413501</v>
      </c>
      <c r="P385" s="100" t="s">
        <v>47</v>
      </c>
      <c r="Q385" s="100">
        <v>1000</v>
      </c>
      <c r="R385" s="106">
        <v>1020</v>
      </c>
      <c r="S385" s="72" t="s">
        <v>0</v>
      </c>
    </row>
    <row r="386" spans="12:19" x14ac:dyDescent="0.25">
      <c r="L386" s="94">
        <v>46012</v>
      </c>
      <c r="M386" s="86">
        <v>1</v>
      </c>
      <c r="N386" s="100">
        <v>7</v>
      </c>
      <c r="O386" s="100">
        <v>2535413501</v>
      </c>
      <c r="P386" s="100" t="s">
        <v>47</v>
      </c>
      <c r="Q386" s="100">
        <v>1000</v>
      </c>
      <c r="R386" s="106">
        <v>1022</v>
      </c>
      <c r="S386" s="72" t="s">
        <v>0</v>
      </c>
    </row>
    <row r="387" spans="12:19" x14ac:dyDescent="0.25">
      <c r="L387" s="94">
        <v>46012</v>
      </c>
      <c r="M387" s="86">
        <v>1</v>
      </c>
      <c r="N387" s="100">
        <v>8</v>
      </c>
      <c r="O387" s="100">
        <v>2535413501</v>
      </c>
      <c r="P387" s="100" t="s">
        <v>47</v>
      </c>
      <c r="Q387" s="100">
        <v>1000</v>
      </c>
      <c r="R387" s="106">
        <v>1023</v>
      </c>
      <c r="S387" s="72" t="s">
        <v>0</v>
      </c>
    </row>
    <row r="388" spans="12:19" x14ac:dyDescent="0.25">
      <c r="L388" s="94">
        <v>46013</v>
      </c>
      <c r="M388" s="86">
        <v>1</v>
      </c>
      <c r="N388" s="100">
        <v>9</v>
      </c>
      <c r="O388" s="100">
        <v>2535413501</v>
      </c>
      <c r="P388" s="100" t="s">
        <v>47</v>
      </c>
      <c r="Q388" s="100">
        <v>1000</v>
      </c>
      <c r="R388" s="106">
        <v>1041</v>
      </c>
      <c r="S388" s="72" t="s">
        <v>0</v>
      </c>
    </row>
    <row r="389" spans="12:19" x14ac:dyDescent="0.25">
      <c r="L389" s="94">
        <v>46013</v>
      </c>
      <c r="M389" s="86">
        <v>1</v>
      </c>
      <c r="N389" s="100">
        <v>10</v>
      </c>
      <c r="O389" s="100">
        <v>2535413501</v>
      </c>
      <c r="P389" s="100" t="s">
        <v>47</v>
      </c>
      <c r="Q389" s="100">
        <v>1000</v>
      </c>
      <c r="R389" s="106">
        <v>1028</v>
      </c>
      <c r="S389" s="72" t="s">
        <v>0</v>
      </c>
    </row>
    <row r="390" spans="12:19" x14ac:dyDescent="0.25">
      <c r="L390" s="94">
        <v>46013</v>
      </c>
      <c r="M390" s="86">
        <v>1</v>
      </c>
      <c r="N390" s="100">
        <v>11</v>
      </c>
      <c r="O390" s="100">
        <v>2535413501</v>
      </c>
      <c r="P390" s="100" t="s">
        <v>47</v>
      </c>
      <c r="Q390" s="100">
        <v>1000</v>
      </c>
      <c r="R390" s="106">
        <v>1012</v>
      </c>
      <c r="S390" s="72" t="s">
        <v>0</v>
      </c>
    </row>
    <row r="391" spans="12:19" x14ac:dyDescent="0.25">
      <c r="L391" s="94">
        <v>46013</v>
      </c>
      <c r="M391" s="86">
        <v>1</v>
      </c>
      <c r="N391" s="100">
        <v>12</v>
      </c>
      <c r="O391" s="100">
        <v>2535413501</v>
      </c>
      <c r="P391" s="100" t="s">
        <v>47</v>
      </c>
      <c r="Q391" s="100">
        <v>1000</v>
      </c>
      <c r="R391" s="106">
        <v>1002</v>
      </c>
      <c r="S391" s="72" t="s">
        <v>0</v>
      </c>
    </row>
    <row r="392" spans="12:19" x14ac:dyDescent="0.25">
      <c r="L392" s="94">
        <v>46013</v>
      </c>
      <c r="M392" s="86">
        <v>1</v>
      </c>
      <c r="N392" s="100">
        <v>13</v>
      </c>
      <c r="O392" s="100">
        <v>2535413501</v>
      </c>
      <c r="P392" s="100" t="s">
        <v>47</v>
      </c>
      <c r="Q392" s="100">
        <v>1000</v>
      </c>
      <c r="R392" s="106">
        <v>1009</v>
      </c>
      <c r="S392" s="72" t="s">
        <v>0</v>
      </c>
    </row>
    <row r="393" spans="12:19" x14ac:dyDescent="0.25">
      <c r="L393" s="94">
        <v>46013</v>
      </c>
      <c r="M393" s="86">
        <v>1</v>
      </c>
      <c r="N393" s="100">
        <v>14</v>
      </c>
      <c r="O393" s="100">
        <v>2535413501</v>
      </c>
      <c r="P393" s="100" t="s">
        <v>47</v>
      </c>
      <c r="Q393" s="100">
        <v>1000</v>
      </c>
      <c r="R393" s="106">
        <v>1016</v>
      </c>
      <c r="S393" s="72" t="s">
        <v>0</v>
      </c>
    </row>
    <row r="394" spans="12:19" x14ac:dyDescent="0.25">
      <c r="L394" s="94">
        <v>46014</v>
      </c>
      <c r="M394" s="86">
        <v>1</v>
      </c>
      <c r="N394" s="100">
        <v>15</v>
      </c>
      <c r="O394" s="100">
        <v>2535413501</v>
      </c>
      <c r="P394" s="100" t="s">
        <v>47</v>
      </c>
      <c r="Q394" s="100">
        <v>1000</v>
      </c>
      <c r="R394" s="106">
        <v>1002</v>
      </c>
      <c r="S394" s="72" t="s">
        <v>0</v>
      </c>
    </row>
    <row r="395" spans="12:19" x14ac:dyDescent="0.25">
      <c r="L395" s="94">
        <v>46014</v>
      </c>
      <c r="M395" s="86">
        <v>1</v>
      </c>
      <c r="N395" s="100">
        <v>16</v>
      </c>
      <c r="O395" s="100">
        <v>2535413501</v>
      </c>
      <c r="P395" s="100" t="s">
        <v>47</v>
      </c>
      <c r="Q395" s="100">
        <v>1000</v>
      </c>
      <c r="R395" s="106">
        <v>1020</v>
      </c>
      <c r="S395" s="72" t="s">
        <v>0</v>
      </c>
    </row>
    <row r="396" spans="12:19" x14ac:dyDescent="0.25">
      <c r="L396" s="94">
        <v>46014</v>
      </c>
      <c r="M396" s="86">
        <v>1</v>
      </c>
      <c r="N396" s="100">
        <v>17</v>
      </c>
      <c r="O396" s="100">
        <v>2535413501</v>
      </c>
      <c r="P396" s="100" t="s">
        <v>47</v>
      </c>
      <c r="Q396" s="100">
        <v>1000</v>
      </c>
      <c r="R396" s="106">
        <v>1018</v>
      </c>
      <c r="S396" s="72" t="s">
        <v>0</v>
      </c>
    </row>
    <row r="397" spans="12:19" x14ac:dyDescent="0.25">
      <c r="L397" s="94">
        <v>46014</v>
      </c>
      <c r="M397" s="86">
        <v>1</v>
      </c>
      <c r="N397" s="100">
        <v>18</v>
      </c>
      <c r="O397" s="100">
        <v>2535413501</v>
      </c>
      <c r="P397" s="100" t="s">
        <v>47</v>
      </c>
      <c r="Q397" s="100">
        <v>1000</v>
      </c>
      <c r="R397" s="106">
        <v>1030</v>
      </c>
      <c r="S397" s="72" t="s">
        <v>0</v>
      </c>
    </row>
    <row r="398" spans="12:19" x14ac:dyDescent="0.25">
      <c r="L398" s="94">
        <v>46014</v>
      </c>
      <c r="M398" s="86">
        <v>1</v>
      </c>
      <c r="N398" s="100">
        <v>19</v>
      </c>
      <c r="O398" s="100">
        <v>2535413501</v>
      </c>
      <c r="P398" s="100" t="s">
        <v>47</v>
      </c>
      <c r="Q398" s="100">
        <v>1000</v>
      </c>
      <c r="R398" s="106">
        <v>1000</v>
      </c>
      <c r="S398" s="72" t="s">
        <v>0</v>
      </c>
    </row>
    <row r="399" spans="12:19" ht="15.75" thickBot="1" x14ac:dyDescent="0.3">
      <c r="L399" s="95">
        <v>46015</v>
      </c>
      <c r="M399" s="96">
        <v>1</v>
      </c>
      <c r="N399" s="101">
        <v>20</v>
      </c>
      <c r="O399" s="101">
        <v>2535413501</v>
      </c>
      <c r="P399" s="101" t="s">
        <v>47</v>
      </c>
      <c r="Q399" s="101">
        <v>1000</v>
      </c>
      <c r="R399" s="107">
        <v>1015</v>
      </c>
      <c r="S399" s="108" t="s">
        <v>0</v>
      </c>
    </row>
    <row r="400" spans="12:19" ht="15.75" thickTop="1" x14ac:dyDescent="0.25">
      <c r="L400" s="98">
        <v>46015</v>
      </c>
      <c r="M400" s="97">
        <v>1</v>
      </c>
      <c r="N400" s="99">
        <v>1</v>
      </c>
      <c r="O400" s="99">
        <v>2535813501</v>
      </c>
      <c r="P400" s="99" t="s">
        <v>47</v>
      </c>
      <c r="Q400" s="99">
        <v>1000</v>
      </c>
      <c r="R400" s="104">
        <v>1018</v>
      </c>
      <c r="S400" s="105" t="s">
        <v>0</v>
      </c>
    </row>
    <row r="401" spans="12:19" x14ac:dyDescent="0.25">
      <c r="L401" s="94">
        <v>46015</v>
      </c>
      <c r="M401" s="86">
        <v>1</v>
      </c>
      <c r="N401" s="100">
        <v>2</v>
      </c>
      <c r="O401" s="100">
        <v>2535813501</v>
      </c>
      <c r="P401" s="100" t="s">
        <v>47</v>
      </c>
      <c r="Q401" s="100">
        <v>1000</v>
      </c>
      <c r="R401" s="106">
        <v>992</v>
      </c>
      <c r="S401" s="72" t="s">
        <v>0</v>
      </c>
    </row>
    <row r="402" spans="12:19" x14ac:dyDescent="0.25">
      <c r="L402" s="94">
        <v>46015</v>
      </c>
      <c r="M402" s="86">
        <v>1</v>
      </c>
      <c r="N402" s="100">
        <v>3</v>
      </c>
      <c r="O402" s="100">
        <v>2535813501</v>
      </c>
      <c r="P402" s="100" t="s">
        <v>47</v>
      </c>
      <c r="Q402" s="100">
        <v>1000</v>
      </c>
      <c r="R402" s="106">
        <v>1024</v>
      </c>
      <c r="S402" s="72" t="s">
        <v>0</v>
      </c>
    </row>
    <row r="403" spans="12:19" x14ac:dyDescent="0.25">
      <c r="L403" s="94">
        <v>46015</v>
      </c>
      <c r="M403" s="86">
        <v>1</v>
      </c>
      <c r="N403" s="100">
        <v>4</v>
      </c>
      <c r="O403" s="100">
        <v>2535813501</v>
      </c>
      <c r="P403" s="100" t="s">
        <v>47</v>
      </c>
      <c r="Q403" s="100">
        <v>1000</v>
      </c>
      <c r="R403" s="106">
        <v>1007</v>
      </c>
      <c r="S403" s="72" t="s">
        <v>0</v>
      </c>
    </row>
    <row r="404" spans="12:19" x14ac:dyDescent="0.25">
      <c r="L404" s="94">
        <v>46016</v>
      </c>
      <c r="M404" s="86">
        <v>1</v>
      </c>
      <c r="N404" s="100">
        <v>5</v>
      </c>
      <c r="O404" s="100">
        <v>2535813501</v>
      </c>
      <c r="P404" s="100" t="s">
        <v>47</v>
      </c>
      <c r="Q404" s="100">
        <v>1000</v>
      </c>
      <c r="R404" s="106">
        <v>1038</v>
      </c>
      <c r="S404" s="72" t="s">
        <v>0</v>
      </c>
    </row>
    <row r="405" spans="12:19" x14ac:dyDescent="0.25">
      <c r="L405" s="94">
        <v>46016</v>
      </c>
      <c r="M405" s="86">
        <v>1</v>
      </c>
      <c r="N405" s="100">
        <v>6</v>
      </c>
      <c r="O405" s="100">
        <v>2535813501</v>
      </c>
      <c r="P405" s="100" t="s">
        <v>47</v>
      </c>
      <c r="Q405" s="100">
        <v>1000</v>
      </c>
      <c r="R405" s="106">
        <v>1002</v>
      </c>
      <c r="S405" s="72" t="s">
        <v>0</v>
      </c>
    </row>
    <row r="406" spans="12:19" x14ac:dyDescent="0.25">
      <c r="L406" s="94">
        <v>46016</v>
      </c>
      <c r="M406" s="86">
        <v>1</v>
      </c>
      <c r="N406" s="100">
        <v>7</v>
      </c>
      <c r="O406" s="100">
        <v>2535813501</v>
      </c>
      <c r="P406" s="100" t="s">
        <v>47</v>
      </c>
      <c r="Q406" s="100">
        <v>1000</v>
      </c>
      <c r="R406" s="106">
        <v>1018</v>
      </c>
      <c r="S406" s="72" t="s">
        <v>0</v>
      </c>
    </row>
    <row r="407" spans="12:19" x14ac:dyDescent="0.25">
      <c r="L407" s="94">
        <v>46016</v>
      </c>
      <c r="M407" s="86">
        <v>1</v>
      </c>
      <c r="N407" s="100">
        <v>8</v>
      </c>
      <c r="O407" s="100">
        <v>2535813501</v>
      </c>
      <c r="P407" s="100" t="s">
        <v>47</v>
      </c>
      <c r="Q407" s="100">
        <v>1000</v>
      </c>
      <c r="R407" s="106">
        <v>980</v>
      </c>
      <c r="S407" s="72" t="s">
        <v>0</v>
      </c>
    </row>
    <row r="408" spans="12:19" x14ac:dyDescent="0.25">
      <c r="L408" s="94">
        <v>46016</v>
      </c>
      <c r="M408" s="86">
        <v>1</v>
      </c>
      <c r="N408" s="100">
        <v>9</v>
      </c>
      <c r="O408" s="100">
        <v>2535813501</v>
      </c>
      <c r="P408" s="100" t="s">
        <v>47</v>
      </c>
      <c r="Q408" s="100">
        <v>1000</v>
      </c>
      <c r="R408" s="106">
        <v>1014</v>
      </c>
      <c r="S408" s="72" t="s">
        <v>0</v>
      </c>
    </row>
    <row r="409" spans="12:19" x14ac:dyDescent="0.25">
      <c r="L409" s="94">
        <v>46016</v>
      </c>
      <c r="M409" s="86">
        <v>1</v>
      </c>
      <c r="N409" s="100">
        <v>10</v>
      </c>
      <c r="O409" s="100">
        <v>2535813501</v>
      </c>
      <c r="P409" s="100" t="s">
        <v>47</v>
      </c>
      <c r="Q409" s="100">
        <v>1000</v>
      </c>
      <c r="R409" s="106">
        <v>1030</v>
      </c>
      <c r="S409" s="72" t="s">
        <v>0</v>
      </c>
    </row>
    <row r="410" spans="12:19" x14ac:dyDescent="0.25">
      <c r="L410" s="94">
        <v>46017</v>
      </c>
      <c r="M410" s="86">
        <v>1</v>
      </c>
      <c r="N410" s="100">
        <v>11</v>
      </c>
      <c r="O410" s="100">
        <v>2535813501</v>
      </c>
      <c r="P410" s="100" t="s">
        <v>47</v>
      </c>
      <c r="Q410" s="100">
        <v>1000</v>
      </c>
      <c r="R410" s="106">
        <v>1037</v>
      </c>
      <c r="S410" s="72" t="s">
        <v>0</v>
      </c>
    </row>
    <row r="411" spans="12:19" x14ac:dyDescent="0.25">
      <c r="L411" s="94">
        <v>46018</v>
      </c>
      <c r="M411" s="86">
        <v>1</v>
      </c>
      <c r="N411" s="100">
        <v>12</v>
      </c>
      <c r="O411" s="100">
        <v>2535813501</v>
      </c>
      <c r="P411" s="100" t="s">
        <v>47</v>
      </c>
      <c r="Q411" s="100">
        <v>1000</v>
      </c>
      <c r="R411" s="106">
        <v>1025</v>
      </c>
      <c r="S411" s="72" t="s">
        <v>0</v>
      </c>
    </row>
    <row r="412" spans="12:19" x14ac:dyDescent="0.25">
      <c r="L412" s="94">
        <v>46018</v>
      </c>
      <c r="M412" s="86">
        <v>1</v>
      </c>
      <c r="N412" s="100">
        <v>13</v>
      </c>
      <c r="O412" s="100">
        <v>2535813501</v>
      </c>
      <c r="P412" s="100" t="s">
        <v>47</v>
      </c>
      <c r="Q412" s="100">
        <v>1000</v>
      </c>
      <c r="R412" s="106">
        <v>1017</v>
      </c>
      <c r="S412" s="72" t="s">
        <v>0</v>
      </c>
    </row>
    <row r="413" spans="12:19" x14ac:dyDescent="0.25">
      <c r="L413" s="94">
        <v>46018</v>
      </c>
      <c r="M413" s="86">
        <v>1</v>
      </c>
      <c r="N413" s="100">
        <v>14</v>
      </c>
      <c r="O413" s="100">
        <v>2535813501</v>
      </c>
      <c r="P413" s="100" t="s">
        <v>47</v>
      </c>
      <c r="Q413" s="100">
        <v>1000</v>
      </c>
      <c r="R413" s="106">
        <v>1023</v>
      </c>
      <c r="S413" s="72" t="s">
        <v>0</v>
      </c>
    </row>
    <row r="414" spans="12:19" x14ac:dyDescent="0.25">
      <c r="L414" s="94">
        <v>46018</v>
      </c>
      <c r="M414" s="86">
        <v>1</v>
      </c>
      <c r="N414" s="100">
        <v>15</v>
      </c>
      <c r="O414" s="100">
        <v>2535813501</v>
      </c>
      <c r="P414" s="100" t="s">
        <v>47</v>
      </c>
      <c r="Q414" s="100">
        <v>1000</v>
      </c>
      <c r="R414" s="106">
        <v>1014</v>
      </c>
      <c r="S414" s="72" t="s">
        <v>0</v>
      </c>
    </row>
    <row r="415" spans="12:19" x14ac:dyDescent="0.25">
      <c r="L415" s="94">
        <v>45993</v>
      </c>
      <c r="M415" s="86">
        <v>1</v>
      </c>
      <c r="N415" s="100">
        <v>16</v>
      </c>
      <c r="O415" s="100">
        <v>2535813501</v>
      </c>
      <c r="P415" s="100" t="s">
        <v>47</v>
      </c>
      <c r="Q415" s="100">
        <v>1000</v>
      </c>
      <c r="R415" s="106">
        <v>1028</v>
      </c>
      <c r="S415" s="72" t="s">
        <v>0</v>
      </c>
    </row>
    <row r="416" spans="12:19" x14ac:dyDescent="0.25">
      <c r="L416" s="94">
        <v>45993</v>
      </c>
      <c r="M416" s="86">
        <v>1</v>
      </c>
      <c r="N416" s="100">
        <v>17</v>
      </c>
      <c r="O416" s="100">
        <v>2535813501</v>
      </c>
      <c r="P416" s="100" t="s">
        <v>47</v>
      </c>
      <c r="Q416" s="100">
        <v>1000</v>
      </c>
      <c r="R416" s="106">
        <v>1034</v>
      </c>
      <c r="S416" s="72" t="s">
        <v>0</v>
      </c>
    </row>
    <row r="417" spans="12:19" x14ac:dyDescent="0.25">
      <c r="L417" s="94">
        <v>46021</v>
      </c>
      <c r="M417" s="86">
        <v>1</v>
      </c>
      <c r="N417" s="100">
        <v>18</v>
      </c>
      <c r="O417" s="100">
        <v>2535813501</v>
      </c>
      <c r="P417" s="100" t="s">
        <v>47</v>
      </c>
      <c r="Q417" s="100">
        <v>1000</v>
      </c>
      <c r="R417" s="106">
        <v>1013</v>
      </c>
      <c r="S417" s="72" t="s">
        <v>0</v>
      </c>
    </row>
    <row r="418" spans="12:19" x14ac:dyDescent="0.25">
      <c r="L418" s="94">
        <v>46021</v>
      </c>
      <c r="M418" s="86">
        <v>1</v>
      </c>
      <c r="N418" s="100">
        <v>19</v>
      </c>
      <c r="O418" s="100">
        <v>2535813501</v>
      </c>
      <c r="P418" s="100" t="s">
        <v>47</v>
      </c>
      <c r="Q418" s="100">
        <v>1000</v>
      </c>
      <c r="R418" s="106">
        <v>1033</v>
      </c>
      <c r="S418" s="72" t="s">
        <v>0</v>
      </c>
    </row>
    <row r="419" spans="12:19" ht="15.75" thickBot="1" x14ac:dyDescent="0.3">
      <c r="L419" s="95">
        <v>46021</v>
      </c>
      <c r="M419" s="96">
        <v>1</v>
      </c>
      <c r="N419" s="101">
        <v>20</v>
      </c>
      <c r="O419" s="101">
        <v>2535813501</v>
      </c>
      <c r="P419" s="101" t="s">
        <v>47</v>
      </c>
      <c r="Q419" s="101">
        <v>1000</v>
      </c>
      <c r="R419" s="107">
        <v>1017</v>
      </c>
      <c r="S419" s="108" t="s">
        <v>0</v>
      </c>
    </row>
    <row r="420" spans="12:19" ht="15.75" thickTop="1" x14ac:dyDescent="0.25">
      <c r="L420" s="94">
        <v>45667</v>
      </c>
      <c r="M420" s="86">
        <v>1</v>
      </c>
      <c r="N420" s="161">
        <v>5</v>
      </c>
      <c r="O420" s="161">
        <v>2536413501</v>
      </c>
      <c r="P420" s="161" t="s">
        <v>47</v>
      </c>
      <c r="Q420" s="162">
        <v>1000</v>
      </c>
      <c r="R420" s="163">
        <v>1015</v>
      </c>
      <c r="S420" s="164" t="s">
        <v>0</v>
      </c>
    </row>
    <row r="421" spans="12:19" x14ac:dyDescent="0.25">
      <c r="L421" s="94">
        <v>45667</v>
      </c>
      <c r="M421" s="86">
        <v>1</v>
      </c>
      <c r="N421" s="161">
        <v>6</v>
      </c>
      <c r="O421" s="161">
        <v>2536413501</v>
      </c>
      <c r="P421" s="161" t="s">
        <v>47</v>
      </c>
      <c r="Q421" s="162">
        <v>1000</v>
      </c>
      <c r="R421" s="163">
        <v>1014</v>
      </c>
      <c r="S421" s="164" t="s">
        <v>0</v>
      </c>
    </row>
    <row r="422" spans="12:19" x14ac:dyDescent="0.25">
      <c r="L422" s="94">
        <v>45667</v>
      </c>
      <c r="M422" s="86">
        <v>1</v>
      </c>
      <c r="N422" s="161">
        <v>7</v>
      </c>
      <c r="O422" s="161">
        <v>2536413501</v>
      </c>
      <c r="P422" s="161" t="s">
        <v>47</v>
      </c>
      <c r="Q422" s="162">
        <v>1000</v>
      </c>
      <c r="R422" s="163">
        <v>1003</v>
      </c>
      <c r="S422" s="164" t="s">
        <v>0</v>
      </c>
    </row>
    <row r="423" spans="12:19" x14ac:dyDescent="0.25">
      <c r="L423" s="94">
        <v>45667</v>
      </c>
      <c r="M423" s="86">
        <v>1</v>
      </c>
      <c r="N423" s="161">
        <v>8</v>
      </c>
      <c r="O423" s="161">
        <v>2536413501</v>
      </c>
      <c r="P423" s="161" t="s">
        <v>47</v>
      </c>
      <c r="Q423" s="162">
        <v>1000</v>
      </c>
      <c r="R423" s="163">
        <v>995</v>
      </c>
      <c r="S423" s="164" t="s">
        <v>0</v>
      </c>
    </row>
    <row r="424" spans="12:19" x14ac:dyDescent="0.25">
      <c r="L424" s="94">
        <v>45667</v>
      </c>
      <c r="M424" s="86">
        <v>1</v>
      </c>
      <c r="N424" s="161">
        <v>9</v>
      </c>
      <c r="O424" s="161">
        <v>2536413501</v>
      </c>
      <c r="P424" s="161" t="s">
        <v>47</v>
      </c>
      <c r="Q424" s="162">
        <v>1000</v>
      </c>
      <c r="R424" s="163">
        <v>1043</v>
      </c>
      <c r="S424" s="164" t="s">
        <v>0</v>
      </c>
    </row>
    <row r="425" spans="12:19" x14ac:dyDescent="0.25">
      <c r="L425" s="94">
        <v>45668</v>
      </c>
      <c r="M425" s="86">
        <v>1</v>
      </c>
      <c r="N425" s="161">
        <v>11</v>
      </c>
      <c r="O425" s="161">
        <v>2536413501</v>
      </c>
      <c r="P425" s="161" t="s">
        <v>47</v>
      </c>
      <c r="Q425" s="162">
        <v>1000</v>
      </c>
      <c r="R425" s="163">
        <v>1008</v>
      </c>
      <c r="S425" s="164" t="s">
        <v>0</v>
      </c>
    </row>
    <row r="426" spans="12:19" x14ac:dyDescent="0.25">
      <c r="L426" s="94">
        <v>45668</v>
      </c>
      <c r="M426" s="86">
        <v>1</v>
      </c>
      <c r="N426" s="161">
        <v>12</v>
      </c>
      <c r="O426" s="161">
        <v>2536413501</v>
      </c>
      <c r="P426" s="161" t="s">
        <v>47</v>
      </c>
      <c r="Q426" s="162">
        <v>1000</v>
      </c>
      <c r="R426" s="163">
        <v>1009</v>
      </c>
      <c r="S426" s="164" t="s">
        <v>0</v>
      </c>
    </row>
    <row r="427" spans="12:19" x14ac:dyDescent="0.25">
      <c r="L427" s="94">
        <v>45668</v>
      </c>
      <c r="M427" s="86">
        <v>1</v>
      </c>
      <c r="N427" s="161">
        <v>13</v>
      </c>
      <c r="O427" s="161">
        <v>2536413501</v>
      </c>
      <c r="P427" s="161" t="s">
        <v>47</v>
      </c>
      <c r="Q427" s="162">
        <v>1000</v>
      </c>
      <c r="R427" s="163">
        <v>1022</v>
      </c>
      <c r="S427" s="164" t="s">
        <v>0</v>
      </c>
    </row>
    <row r="428" spans="12:19" x14ac:dyDescent="0.25">
      <c r="L428" s="94">
        <v>45668</v>
      </c>
      <c r="M428" s="86">
        <v>1</v>
      </c>
      <c r="N428" s="161">
        <v>14</v>
      </c>
      <c r="O428" s="161">
        <v>2536413501</v>
      </c>
      <c r="P428" s="161" t="s">
        <v>47</v>
      </c>
      <c r="Q428" s="162">
        <v>1000</v>
      </c>
      <c r="R428" s="163">
        <v>1020</v>
      </c>
      <c r="S428" s="164" t="s">
        <v>0</v>
      </c>
    </row>
    <row r="429" spans="12:19" x14ac:dyDescent="0.25">
      <c r="L429" s="94">
        <v>45668</v>
      </c>
      <c r="M429" s="86">
        <v>1</v>
      </c>
      <c r="N429" s="161">
        <v>15</v>
      </c>
      <c r="O429" s="161">
        <v>2536413501</v>
      </c>
      <c r="P429" s="161" t="s">
        <v>47</v>
      </c>
      <c r="Q429" s="162">
        <v>1000</v>
      </c>
      <c r="R429" s="163">
        <v>1000</v>
      </c>
      <c r="S429" s="164" t="s">
        <v>0</v>
      </c>
    </row>
    <row r="430" spans="12:19" x14ac:dyDescent="0.25">
      <c r="L430" s="94">
        <v>46045</v>
      </c>
      <c r="M430" s="86">
        <v>1</v>
      </c>
      <c r="N430" s="161">
        <v>16</v>
      </c>
      <c r="O430" s="161">
        <v>2536413501</v>
      </c>
      <c r="P430" s="161" t="s">
        <v>47</v>
      </c>
      <c r="Q430" s="162">
        <v>1000</v>
      </c>
      <c r="R430" s="163">
        <v>1011</v>
      </c>
      <c r="S430" s="164" t="s">
        <v>0</v>
      </c>
    </row>
    <row r="431" spans="12:19" x14ac:dyDescent="0.25">
      <c r="L431" s="94">
        <v>46045</v>
      </c>
      <c r="M431" s="86">
        <v>1</v>
      </c>
      <c r="N431" s="161">
        <v>17</v>
      </c>
      <c r="O431" s="161">
        <v>2536413501</v>
      </c>
      <c r="P431" s="161" t="s">
        <v>47</v>
      </c>
      <c r="Q431" s="162">
        <v>1000</v>
      </c>
      <c r="R431" s="163">
        <v>1015</v>
      </c>
      <c r="S431" s="164" t="s">
        <v>0</v>
      </c>
    </row>
    <row r="432" spans="12:19" x14ac:dyDescent="0.25">
      <c r="L432" s="94">
        <v>46045</v>
      </c>
      <c r="M432" s="86">
        <v>1</v>
      </c>
      <c r="N432" s="161">
        <v>18</v>
      </c>
      <c r="O432" s="161">
        <v>2536413501</v>
      </c>
      <c r="P432" s="161" t="s">
        <v>47</v>
      </c>
      <c r="Q432" s="162">
        <v>1000</v>
      </c>
      <c r="R432" s="163">
        <v>1022</v>
      </c>
      <c r="S432" s="164" t="s">
        <v>0</v>
      </c>
    </row>
    <row r="433" spans="12:19" x14ac:dyDescent="0.25">
      <c r="L433" s="94">
        <v>46045</v>
      </c>
      <c r="M433" s="86">
        <v>1</v>
      </c>
      <c r="N433" s="161">
        <v>19</v>
      </c>
      <c r="O433" s="161">
        <v>2536413501</v>
      </c>
      <c r="P433" s="161" t="s">
        <v>47</v>
      </c>
      <c r="Q433" s="162">
        <v>1000</v>
      </c>
      <c r="R433" s="163">
        <v>1004</v>
      </c>
      <c r="S433" s="164" t="s">
        <v>0</v>
      </c>
    </row>
    <row r="434" spans="12:19" ht="15.75" thickBot="1" x14ac:dyDescent="0.3">
      <c r="L434" s="95">
        <v>46045</v>
      </c>
      <c r="M434" s="96">
        <v>1</v>
      </c>
      <c r="N434" s="169">
        <v>20</v>
      </c>
      <c r="O434" s="169">
        <v>2536413501</v>
      </c>
      <c r="P434" s="169" t="s">
        <v>47</v>
      </c>
      <c r="Q434" s="170">
        <v>1000</v>
      </c>
      <c r="R434" s="171">
        <v>1000</v>
      </c>
      <c r="S434" s="172" t="s">
        <v>0</v>
      </c>
    </row>
    <row r="435" spans="12:19" ht="15.75" thickTop="1" x14ac:dyDescent="0.25">
      <c r="L435" s="98">
        <v>46111</v>
      </c>
      <c r="M435" s="97">
        <v>1</v>
      </c>
      <c r="N435" s="165">
        <v>1</v>
      </c>
      <c r="O435" s="165">
        <v>2608913501</v>
      </c>
      <c r="P435" s="180" t="s">
        <v>47</v>
      </c>
      <c r="Q435" s="166">
        <v>1000</v>
      </c>
      <c r="R435" s="167">
        <v>1005</v>
      </c>
      <c r="S435" s="168" t="s">
        <v>0</v>
      </c>
    </row>
    <row r="436" spans="12:19" x14ac:dyDescent="0.25">
      <c r="L436" s="94">
        <v>46111</v>
      </c>
      <c r="M436" s="86">
        <v>1</v>
      </c>
      <c r="N436" s="161">
        <v>2</v>
      </c>
      <c r="O436" s="161">
        <v>2608913501</v>
      </c>
      <c r="P436" s="179" t="s">
        <v>47</v>
      </c>
      <c r="Q436" s="162">
        <v>1000</v>
      </c>
      <c r="R436" s="163">
        <v>1013</v>
      </c>
      <c r="S436" s="164" t="s">
        <v>0</v>
      </c>
    </row>
    <row r="437" spans="12:19" x14ac:dyDescent="0.25">
      <c r="L437" s="94">
        <v>46111</v>
      </c>
      <c r="M437" s="86">
        <v>1</v>
      </c>
      <c r="N437" s="161">
        <v>3</v>
      </c>
      <c r="O437" s="161">
        <v>2608913501</v>
      </c>
      <c r="P437" s="179" t="s">
        <v>47</v>
      </c>
      <c r="Q437" s="162">
        <v>1000</v>
      </c>
      <c r="R437" s="163">
        <v>1000</v>
      </c>
      <c r="S437" s="164" t="s">
        <v>0</v>
      </c>
    </row>
    <row r="438" spans="12:19" x14ac:dyDescent="0.25">
      <c r="L438" s="94">
        <v>46111</v>
      </c>
      <c r="M438" s="86">
        <v>1</v>
      </c>
      <c r="N438" s="161">
        <v>4</v>
      </c>
      <c r="O438" s="161">
        <v>2608913501</v>
      </c>
      <c r="P438" s="179" t="s">
        <v>47</v>
      </c>
      <c r="Q438" s="162">
        <v>1000</v>
      </c>
      <c r="R438" s="163">
        <v>983</v>
      </c>
      <c r="S438" s="164" t="s">
        <v>0</v>
      </c>
    </row>
    <row r="439" spans="12:19" x14ac:dyDescent="0.25">
      <c r="L439" s="94">
        <v>46112</v>
      </c>
      <c r="M439" s="86">
        <v>1</v>
      </c>
      <c r="N439" s="161">
        <v>5</v>
      </c>
      <c r="O439" s="161">
        <v>2608913501</v>
      </c>
      <c r="P439" s="179" t="s">
        <v>47</v>
      </c>
      <c r="Q439" s="162">
        <v>1000</v>
      </c>
      <c r="R439" s="163">
        <v>1013</v>
      </c>
      <c r="S439" s="164" t="s">
        <v>0</v>
      </c>
    </row>
    <row r="440" spans="12:19" x14ac:dyDescent="0.25">
      <c r="L440" s="94">
        <v>46112</v>
      </c>
      <c r="M440" s="86">
        <v>1</v>
      </c>
      <c r="N440" s="161">
        <v>6</v>
      </c>
      <c r="O440" s="161">
        <v>2608913501</v>
      </c>
      <c r="P440" s="179" t="s">
        <v>47</v>
      </c>
      <c r="Q440" s="162">
        <v>1000</v>
      </c>
      <c r="R440" s="163">
        <v>993</v>
      </c>
      <c r="S440" s="164" t="s">
        <v>0</v>
      </c>
    </row>
    <row r="441" spans="12:19" x14ac:dyDescent="0.25">
      <c r="L441" s="94">
        <v>46112</v>
      </c>
      <c r="M441" s="86">
        <v>1</v>
      </c>
      <c r="N441" s="161">
        <v>7</v>
      </c>
      <c r="O441" s="161">
        <v>2608913501</v>
      </c>
      <c r="P441" s="179" t="s">
        <v>47</v>
      </c>
      <c r="Q441" s="162">
        <v>1000</v>
      </c>
      <c r="R441" s="163">
        <v>1010</v>
      </c>
      <c r="S441" s="164" t="s">
        <v>0</v>
      </c>
    </row>
    <row r="442" spans="12:19" x14ac:dyDescent="0.25">
      <c r="L442" s="94">
        <v>46112</v>
      </c>
      <c r="M442" s="86">
        <v>1</v>
      </c>
      <c r="N442" s="161">
        <v>8</v>
      </c>
      <c r="O442" s="161">
        <v>2608913501</v>
      </c>
      <c r="P442" s="179" t="s">
        <v>47</v>
      </c>
      <c r="Q442" s="162">
        <v>1000</v>
      </c>
      <c r="R442" s="163">
        <v>1022</v>
      </c>
      <c r="S442" s="164" t="s">
        <v>0</v>
      </c>
    </row>
    <row r="443" spans="12:19" x14ac:dyDescent="0.25">
      <c r="L443" s="94">
        <v>46112</v>
      </c>
      <c r="M443" s="86">
        <v>1</v>
      </c>
      <c r="N443" s="161">
        <v>9</v>
      </c>
      <c r="O443" s="161">
        <v>2608913501</v>
      </c>
      <c r="P443" s="179" t="s">
        <v>47</v>
      </c>
      <c r="Q443" s="162">
        <v>1000</v>
      </c>
      <c r="R443" s="163">
        <v>1009</v>
      </c>
      <c r="S443" s="164" t="s">
        <v>0</v>
      </c>
    </row>
    <row r="444" spans="12:19" x14ac:dyDescent="0.25">
      <c r="L444" s="94">
        <v>46112</v>
      </c>
      <c r="M444" s="86">
        <v>1</v>
      </c>
      <c r="N444" s="161">
        <v>10</v>
      </c>
      <c r="O444" s="161">
        <v>2608913501</v>
      </c>
      <c r="P444" s="179" t="s">
        <v>47</v>
      </c>
      <c r="Q444" s="162">
        <v>1000</v>
      </c>
      <c r="R444" s="163">
        <v>1008</v>
      </c>
      <c r="S444" s="164" t="s">
        <v>0</v>
      </c>
    </row>
    <row r="445" spans="12:19" x14ac:dyDescent="0.25">
      <c r="L445" s="94">
        <v>46113</v>
      </c>
      <c r="M445" s="86">
        <v>1</v>
      </c>
      <c r="N445" s="161">
        <v>11</v>
      </c>
      <c r="O445" s="161">
        <v>2608913501</v>
      </c>
      <c r="P445" s="179" t="s">
        <v>47</v>
      </c>
      <c r="Q445" s="162">
        <v>1000</v>
      </c>
      <c r="R445" s="163">
        <v>1001</v>
      </c>
      <c r="S445" s="164" t="s">
        <v>0</v>
      </c>
    </row>
    <row r="446" spans="12:19" x14ac:dyDescent="0.25">
      <c r="L446" s="94">
        <v>46113</v>
      </c>
      <c r="M446" s="86">
        <v>1</v>
      </c>
      <c r="N446" s="161">
        <v>12</v>
      </c>
      <c r="O446" s="161">
        <v>2608913501</v>
      </c>
      <c r="P446" s="179" t="s">
        <v>47</v>
      </c>
      <c r="Q446" s="162">
        <v>1000</v>
      </c>
      <c r="R446" s="163">
        <v>1003</v>
      </c>
      <c r="S446" s="164" t="s">
        <v>0</v>
      </c>
    </row>
    <row r="447" spans="12:19" x14ac:dyDescent="0.25">
      <c r="L447" s="94">
        <v>46113</v>
      </c>
      <c r="M447" s="86">
        <v>1</v>
      </c>
      <c r="N447" s="161">
        <v>13</v>
      </c>
      <c r="O447" s="161">
        <v>2608913501</v>
      </c>
      <c r="P447" s="179" t="s">
        <v>47</v>
      </c>
      <c r="Q447" s="162">
        <v>1000</v>
      </c>
      <c r="R447" s="163">
        <v>1026</v>
      </c>
      <c r="S447" s="164" t="s">
        <v>0</v>
      </c>
    </row>
    <row r="448" spans="12:19" x14ac:dyDescent="0.25">
      <c r="L448" s="94">
        <v>46114</v>
      </c>
      <c r="M448" s="86">
        <v>1</v>
      </c>
      <c r="N448" s="161">
        <v>14</v>
      </c>
      <c r="O448" s="161">
        <v>2608913501</v>
      </c>
      <c r="P448" s="179" t="s">
        <v>47</v>
      </c>
      <c r="Q448" s="162">
        <v>1000</v>
      </c>
      <c r="R448" s="163">
        <v>950</v>
      </c>
      <c r="S448" s="164" t="s">
        <v>0</v>
      </c>
    </row>
    <row r="449" spans="12:19" x14ac:dyDescent="0.25">
      <c r="L449" s="94">
        <v>46114</v>
      </c>
      <c r="M449" s="86">
        <v>1</v>
      </c>
      <c r="N449" s="161">
        <v>15</v>
      </c>
      <c r="O449" s="161">
        <v>2608913501</v>
      </c>
      <c r="P449" s="179" t="s">
        <v>47</v>
      </c>
      <c r="Q449" s="162">
        <v>1000</v>
      </c>
      <c r="R449" s="163">
        <v>982</v>
      </c>
      <c r="S449" s="164" t="s">
        <v>0</v>
      </c>
    </row>
    <row r="450" spans="12:19" x14ac:dyDescent="0.25">
      <c r="L450" s="94">
        <v>46114</v>
      </c>
      <c r="M450" s="86">
        <v>1</v>
      </c>
      <c r="N450" s="161">
        <v>16</v>
      </c>
      <c r="O450" s="161">
        <v>2608913501</v>
      </c>
      <c r="P450" s="179" t="s">
        <v>47</v>
      </c>
      <c r="Q450" s="162">
        <v>1000</v>
      </c>
      <c r="R450" s="163">
        <v>1012</v>
      </c>
      <c r="S450" s="164" t="s">
        <v>0</v>
      </c>
    </row>
    <row r="451" spans="12:19" x14ac:dyDescent="0.25">
      <c r="L451" s="94">
        <v>46115</v>
      </c>
      <c r="M451" s="86">
        <v>1</v>
      </c>
      <c r="N451" s="161">
        <v>17</v>
      </c>
      <c r="O451" s="161">
        <v>2608913501</v>
      </c>
      <c r="P451" s="179" t="s">
        <v>47</v>
      </c>
      <c r="Q451" s="162">
        <v>1000</v>
      </c>
      <c r="R451" s="163">
        <v>995</v>
      </c>
      <c r="S451" s="164" t="s">
        <v>0</v>
      </c>
    </row>
    <row r="452" spans="12:19" x14ac:dyDescent="0.25">
      <c r="L452" s="94">
        <v>46115</v>
      </c>
      <c r="M452" s="86">
        <v>1</v>
      </c>
      <c r="N452" s="161">
        <v>18</v>
      </c>
      <c r="O452" s="161">
        <v>2608913501</v>
      </c>
      <c r="P452" s="179" t="s">
        <v>47</v>
      </c>
      <c r="Q452" s="162">
        <v>1000</v>
      </c>
      <c r="R452" s="163">
        <v>991</v>
      </c>
      <c r="S452" s="164" t="s">
        <v>0</v>
      </c>
    </row>
    <row r="453" spans="12:19" x14ac:dyDescent="0.25">
      <c r="L453" s="94">
        <v>46115</v>
      </c>
      <c r="M453" s="86">
        <v>1</v>
      </c>
      <c r="N453" s="161">
        <v>19</v>
      </c>
      <c r="O453" s="161">
        <v>2608913501</v>
      </c>
      <c r="P453" s="179" t="s">
        <v>47</v>
      </c>
      <c r="Q453" s="162">
        <v>1000</v>
      </c>
      <c r="R453" s="163">
        <v>1019</v>
      </c>
      <c r="S453" s="164" t="s">
        <v>0</v>
      </c>
    </row>
    <row r="454" spans="12:19" ht="15.75" thickBot="1" x14ac:dyDescent="0.3">
      <c r="L454" s="95">
        <v>46115</v>
      </c>
      <c r="M454" s="96">
        <v>1</v>
      </c>
      <c r="N454" s="169">
        <v>20</v>
      </c>
      <c r="O454" s="169">
        <v>2608913501</v>
      </c>
      <c r="P454" s="181" t="s">
        <v>47</v>
      </c>
      <c r="Q454" s="170">
        <v>1000</v>
      </c>
      <c r="R454" s="171">
        <v>990</v>
      </c>
      <c r="S454" s="172" t="s">
        <v>0</v>
      </c>
    </row>
    <row r="455" spans="12:19" ht="15.75" thickTop="1" x14ac:dyDescent="0.25">
      <c r="L455" s="185">
        <v>46120</v>
      </c>
      <c r="M455" s="186">
        <v>1</v>
      </c>
      <c r="N455" s="165">
        <v>1</v>
      </c>
      <c r="O455" s="165">
        <v>2609813501</v>
      </c>
      <c r="P455" s="180"/>
      <c r="Q455" s="166">
        <v>1000</v>
      </c>
      <c r="R455" s="167">
        <v>1004</v>
      </c>
      <c r="S455" s="164" t="s">
        <v>0</v>
      </c>
    </row>
    <row r="456" spans="12:19" x14ac:dyDescent="0.25">
      <c r="L456" s="109">
        <v>46120</v>
      </c>
      <c r="M456" s="158">
        <v>1</v>
      </c>
      <c r="N456" s="161">
        <v>2</v>
      </c>
      <c r="O456" s="161">
        <v>2609813501</v>
      </c>
      <c r="P456" s="179"/>
      <c r="Q456" s="162">
        <v>1000</v>
      </c>
      <c r="R456" s="163">
        <v>1040</v>
      </c>
      <c r="S456" s="164" t="s">
        <v>0</v>
      </c>
    </row>
    <row r="457" spans="12:19" x14ac:dyDescent="0.25">
      <c r="L457" s="109">
        <v>46120</v>
      </c>
      <c r="M457" s="158">
        <v>1</v>
      </c>
      <c r="N457" s="221">
        <v>3</v>
      </c>
      <c r="O457" s="221">
        <v>2609813501</v>
      </c>
      <c r="P457" s="222"/>
      <c r="Q457" s="223">
        <v>1000</v>
      </c>
      <c r="R457" s="224">
        <v>995</v>
      </c>
      <c r="S457" s="220" t="s">
        <v>2</v>
      </c>
    </row>
    <row r="458" spans="12:19" x14ac:dyDescent="0.25">
      <c r="L458" s="109">
        <v>46120</v>
      </c>
      <c r="M458" s="158">
        <v>1</v>
      </c>
      <c r="N458" s="221">
        <v>4</v>
      </c>
      <c r="O458" s="221">
        <v>2609813501</v>
      </c>
      <c r="P458" s="222"/>
      <c r="Q458" s="223">
        <v>1000</v>
      </c>
      <c r="R458" s="224"/>
      <c r="S458" s="220" t="s">
        <v>2</v>
      </c>
    </row>
    <row r="459" spans="12:19" x14ac:dyDescent="0.25">
      <c r="L459" s="109">
        <v>46121</v>
      </c>
      <c r="M459" s="158">
        <v>1</v>
      </c>
      <c r="N459" s="221">
        <v>5</v>
      </c>
      <c r="O459" s="221">
        <v>2609813501</v>
      </c>
      <c r="P459" s="222"/>
      <c r="Q459" s="223">
        <v>1000</v>
      </c>
      <c r="R459" s="224">
        <v>986</v>
      </c>
      <c r="S459" s="220" t="s">
        <v>2</v>
      </c>
    </row>
    <row r="460" spans="12:19" x14ac:dyDescent="0.25">
      <c r="L460" s="109">
        <v>46121</v>
      </c>
      <c r="M460" s="158">
        <v>1</v>
      </c>
      <c r="N460" s="161">
        <v>6</v>
      </c>
      <c r="O460" s="161">
        <v>2609813501</v>
      </c>
      <c r="P460" s="179"/>
      <c r="Q460" s="162">
        <v>1000</v>
      </c>
      <c r="R460" s="163">
        <v>991</v>
      </c>
      <c r="S460" s="164" t="s">
        <v>0</v>
      </c>
    </row>
    <row r="461" spans="12:19" x14ac:dyDescent="0.25">
      <c r="L461" s="109">
        <v>46121</v>
      </c>
      <c r="M461" s="158">
        <v>1</v>
      </c>
      <c r="N461" s="221">
        <v>7</v>
      </c>
      <c r="O461" s="221">
        <v>2609813501</v>
      </c>
      <c r="P461" s="222"/>
      <c r="Q461" s="223">
        <v>1000</v>
      </c>
      <c r="R461" s="224"/>
      <c r="S461" s="220" t="s">
        <v>2</v>
      </c>
    </row>
    <row r="462" spans="12:19" x14ac:dyDescent="0.25">
      <c r="L462" s="109">
        <v>46121</v>
      </c>
      <c r="M462" s="158">
        <v>1</v>
      </c>
      <c r="N462" s="221">
        <v>8</v>
      </c>
      <c r="O462" s="221">
        <v>2609813501</v>
      </c>
      <c r="P462" s="222"/>
      <c r="Q462" s="223">
        <v>1000</v>
      </c>
      <c r="R462" s="224">
        <v>992</v>
      </c>
      <c r="S462" s="220" t="s">
        <v>2</v>
      </c>
    </row>
    <row r="463" spans="12:19" x14ac:dyDescent="0.25">
      <c r="L463" s="109">
        <v>46121</v>
      </c>
      <c r="M463" s="158">
        <v>1</v>
      </c>
      <c r="N463" s="221">
        <v>9</v>
      </c>
      <c r="O463" s="221">
        <v>2609813501</v>
      </c>
      <c r="P463" s="222"/>
      <c r="Q463" s="223">
        <v>1000</v>
      </c>
      <c r="R463" s="224">
        <v>996</v>
      </c>
      <c r="S463" s="220" t="s">
        <v>2</v>
      </c>
    </row>
    <row r="464" spans="12:19" x14ac:dyDescent="0.25">
      <c r="L464" s="109">
        <v>46122</v>
      </c>
      <c r="M464" s="158">
        <v>1</v>
      </c>
      <c r="N464" s="161">
        <v>10</v>
      </c>
      <c r="O464" s="161">
        <v>2609813501</v>
      </c>
      <c r="P464" s="179"/>
      <c r="Q464" s="162">
        <v>1000</v>
      </c>
      <c r="R464" s="163">
        <v>989</v>
      </c>
      <c r="S464" s="164" t="s">
        <v>0</v>
      </c>
    </row>
    <row r="465" spans="12:19" x14ac:dyDescent="0.25">
      <c r="L465" s="109">
        <v>46122</v>
      </c>
      <c r="M465" s="158">
        <v>1</v>
      </c>
      <c r="N465" s="161">
        <v>11</v>
      </c>
      <c r="O465" s="161">
        <v>2609813501</v>
      </c>
      <c r="P465" s="179"/>
      <c r="Q465" s="162">
        <v>1000</v>
      </c>
      <c r="R465" s="163">
        <v>988</v>
      </c>
      <c r="S465" s="164" t="s">
        <v>0</v>
      </c>
    </row>
    <row r="466" spans="12:19" x14ac:dyDescent="0.25">
      <c r="L466" s="109">
        <v>46122</v>
      </c>
      <c r="M466" s="158">
        <v>1</v>
      </c>
      <c r="N466" s="161">
        <v>12</v>
      </c>
      <c r="O466" s="161">
        <v>2609813501</v>
      </c>
      <c r="P466" s="179"/>
      <c r="Q466" s="162">
        <v>1000</v>
      </c>
      <c r="R466" s="163">
        <v>1008</v>
      </c>
      <c r="S466" s="164" t="s">
        <v>0</v>
      </c>
    </row>
    <row r="467" spans="12:19" x14ac:dyDescent="0.25">
      <c r="L467" s="109">
        <v>46122</v>
      </c>
      <c r="M467" s="158">
        <v>1</v>
      </c>
      <c r="N467" s="161">
        <v>13</v>
      </c>
      <c r="O467" s="161">
        <v>2609813501</v>
      </c>
      <c r="P467" s="179"/>
      <c r="Q467" s="162">
        <v>1000</v>
      </c>
      <c r="R467" s="163">
        <v>991</v>
      </c>
      <c r="S467" s="164" t="s">
        <v>0</v>
      </c>
    </row>
    <row r="468" spans="12:19" x14ac:dyDescent="0.25">
      <c r="L468" s="109">
        <v>46123</v>
      </c>
      <c r="M468" s="158">
        <v>1</v>
      </c>
      <c r="N468" s="161">
        <v>14</v>
      </c>
      <c r="O468" s="161">
        <v>2609813501</v>
      </c>
      <c r="P468" s="179"/>
      <c r="Q468" s="162">
        <v>1000</v>
      </c>
      <c r="R468" s="163">
        <v>984</v>
      </c>
      <c r="S468" s="164" t="s">
        <v>0</v>
      </c>
    </row>
    <row r="469" spans="12:19" x14ac:dyDescent="0.25">
      <c r="L469" s="109">
        <v>46123</v>
      </c>
      <c r="M469" s="158">
        <v>1</v>
      </c>
      <c r="N469" s="221">
        <v>15</v>
      </c>
      <c r="O469" s="221">
        <v>2609813501</v>
      </c>
      <c r="P469" s="222"/>
      <c r="Q469" s="223">
        <v>1000</v>
      </c>
      <c r="R469" s="224">
        <v>1014</v>
      </c>
      <c r="S469" s="220" t="s">
        <v>2</v>
      </c>
    </row>
    <row r="470" spans="12:19" x14ac:dyDescent="0.25">
      <c r="L470" s="109">
        <v>46123</v>
      </c>
      <c r="M470" s="158">
        <v>1</v>
      </c>
      <c r="N470" s="221">
        <v>16</v>
      </c>
      <c r="O470" s="221">
        <v>2609813501</v>
      </c>
      <c r="P470" s="222"/>
      <c r="Q470" s="223">
        <v>1000</v>
      </c>
      <c r="R470" s="224">
        <v>954</v>
      </c>
      <c r="S470" s="220" t="s">
        <v>2</v>
      </c>
    </row>
    <row r="471" spans="12:19" x14ac:dyDescent="0.25">
      <c r="L471" s="109">
        <v>46123</v>
      </c>
      <c r="M471" s="158">
        <v>1</v>
      </c>
      <c r="N471" s="221">
        <v>17</v>
      </c>
      <c r="O471" s="221">
        <v>2609813501</v>
      </c>
      <c r="P471" s="222"/>
      <c r="Q471" s="223">
        <v>1000</v>
      </c>
      <c r="R471" s="224">
        <v>992</v>
      </c>
      <c r="S471" s="220" t="s">
        <v>2</v>
      </c>
    </row>
    <row r="472" spans="12:19" x14ac:dyDescent="0.25">
      <c r="L472" s="109">
        <v>46124</v>
      </c>
      <c r="M472" s="158">
        <v>1</v>
      </c>
      <c r="N472" s="221">
        <v>18</v>
      </c>
      <c r="O472" s="221">
        <v>2609813501</v>
      </c>
      <c r="P472" s="222"/>
      <c r="Q472" s="223">
        <v>1000</v>
      </c>
      <c r="R472" s="224">
        <v>1003</v>
      </c>
      <c r="S472" s="220" t="s">
        <v>2</v>
      </c>
    </row>
    <row r="473" spans="12:19" x14ac:dyDescent="0.25">
      <c r="L473" s="109">
        <v>46124</v>
      </c>
      <c r="M473" s="158">
        <v>1</v>
      </c>
      <c r="N473" s="221">
        <v>19</v>
      </c>
      <c r="O473" s="221">
        <v>2609813501</v>
      </c>
      <c r="P473" s="222"/>
      <c r="Q473" s="223">
        <v>1000</v>
      </c>
      <c r="R473" s="224">
        <v>982</v>
      </c>
      <c r="S473" s="220" t="s">
        <v>2</v>
      </c>
    </row>
    <row r="474" spans="12:19" ht="15.75" thickBot="1" x14ac:dyDescent="0.3">
      <c r="L474" s="183">
        <v>46132</v>
      </c>
      <c r="M474" s="184">
        <v>1</v>
      </c>
      <c r="N474" s="238">
        <v>20</v>
      </c>
      <c r="O474" s="238">
        <v>2609813501</v>
      </c>
      <c r="P474" s="239"/>
      <c r="Q474" s="240">
        <v>1000</v>
      </c>
      <c r="R474" s="241">
        <v>970</v>
      </c>
      <c r="S474" s="220" t="s">
        <v>2</v>
      </c>
    </row>
    <row r="475" spans="12:19" ht="15.75" thickTop="1" x14ac:dyDescent="0.25">
      <c r="L475" s="98">
        <v>45767</v>
      </c>
      <c r="M475" s="97">
        <v>1</v>
      </c>
      <c r="N475" s="165">
        <v>1</v>
      </c>
      <c r="O475" s="165">
        <v>2611013501</v>
      </c>
      <c r="P475" s="180"/>
      <c r="Q475" s="166">
        <v>1000</v>
      </c>
      <c r="R475" s="167">
        <v>976</v>
      </c>
      <c r="S475" s="168" t="s">
        <v>0</v>
      </c>
    </row>
    <row r="476" spans="12:19" x14ac:dyDescent="0.25">
      <c r="L476" s="94">
        <v>46132</v>
      </c>
      <c r="M476" s="86">
        <v>1</v>
      </c>
      <c r="N476" s="161">
        <v>2</v>
      </c>
      <c r="O476" s="161">
        <v>2611013501</v>
      </c>
      <c r="P476" s="179"/>
      <c r="Q476" s="162">
        <v>1000</v>
      </c>
      <c r="R476" s="163">
        <v>993</v>
      </c>
      <c r="S476" s="188" t="s">
        <v>0</v>
      </c>
    </row>
    <row r="477" spans="12:19" x14ac:dyDescent="0.25">
      <c r="L477" s="94">
        <v>46132</v>
      </c>
      <c r="M477" s="86">
        <v>1</v>
      </c>
      <c r="N477" s="161">
        <v>3</v>
      </c>
      <c r="O477" s="161">
        <v>2611013501</v>
      </c>
      <c r="P477" s="179"/>
      <c r="Q477" s="162">
        <v>1000</v>
      </c>
      <c r="R477" s="163">
        <v>989</v>
      </c>
      <c r="S477" s="188" t="s">
        <v>0</v>
      </c>
    </row>
    <row r="478" spans="12:19" x14ac:dyDescent="0.25">
      <c r="L478" s="94">
        <v>46132</v>
      </c>
      <c r="M478" s="86">
        <v>1</v>
      </c>
      <c r="N478" s="161">
        <v>4</v>
      </c>
      <c r="O478" s="161">
        <v>2611013501</v>
      </c>
      <c r="P478" s="179"/>
      <c r="Q478" s="162">
        <v>1000</v>
      </c>
      <c r="R478" s="163">
        <v>953</v>
      </c>
      <c r="S478" s="188" t="s">
        <v>0</v>
      </c>
    </row>
    <row r="479" spans="12:19" x14ac:dyDescent="0.25">
      <c r="L479" s="94">
        <v>46132</v>
      </c>
      <c r="M479" s="86">
        <v>1</v>
      </c>
      <c r="N479" s="161">
        <v>5</v>
      </c>
      <c r="O479" s="161">
        <v>2611013501</v>
      </c>
      <c r="P479" s="179"/>
      <c r="Q479" s="162">
        <v>1000</v>
      </c>
      <c r="R479" s="163">
        <v>972</v>
      </c>
      <c r="S479" s="188" t="s">
        <v>0</v>
      </c>
    </row>
    <row r="480" spans="12:19" x14ac:dyDescent="0.25">
      <c r="L480" s="94">
        <v>46137</v>
      </c>
      <c r="M480" s="86">
        <v>1</v>
      </c>
      <c r="N480" s="161">
        <v>6</v>
      </c>
      <c r="O480" s="161">
        <v>2611013501</v>
      </c>
      <c r="P480" s="179"/>
      <c r="Q480" s="162">
        <v>1000</v>
      </c>
      <c r="R480" s="163">
        <v>1000</v>
      </c>
      <c r="S480" s="188" t="s">
        <v>0</v>
      </c>
    </row>
    <row r="481" spans="12:19" x14ac:dyDescent="0.25">
      <c r="L481" s="94">
        <v>46137</v>
      </c>
      <c r="M481" s="86">
        <v>1</v>
      </c>
      <c r="N481" s="161">
        <v>7</v>
      </c>
      <c r="O481" s="161">
        <v>2611013501</v>
      </c>
      <c r="P481" s="179"/>
      <c r="Q481" s="162">
        <v>1000</v>
      </c>
      <c r="R481" s="163">
        <v>984</v>
      </c>
      <c r="S481" s="188" t="s">
        <v>0</v>
      </c>
    </row>
    <row r="482" spans="12:19" x14ac:dyDescent="0.25">
      <c r="L482" s="94">
        <v>46137</v>
      </c>
      <c r="M482" s="86">
        <v>1</v>
      </c>
      <c r="N482" s="161">
        <v>8</v>
      </c>
      <c r="O482" s="161">
        <v>2611013501</v>
      </c>
      <c r="P482" s="179"/>
      <c r="Q482" s="162">
        <v>1000</v>
      </c>
      <c r="R482" s="163">
        <v>973</v>
      </c>
      <c r="S482" s="188" t="s">
        <v>0</v>
      </c>
    </row>
    <row r="483" spans="12:19" x14ac:dyDescent="0.25">
      <c r="L483" s="94">
        <v>46137</v>
      </c>
      <c r="M483" s="86">
        <v>1</v>
      </c>
      <c r="N483" s="161">
        <v>9</v>
      </c>
      <c r="O483" s="161">
        <v>2611013501</v>
      </c>
      <c r="P483" s="179"/>
      <c r="Q483" s="162">
        <v>1000</v>
      </c>
      <c r="R483" s="163">
        <v>982</v>
      </c>
      <c r="S483" s="188" t="s">
        <v>0</v>
      </c>
    </row>
    <row r="484" spans="12:19" x14ac:dyDescent="0.25">
      <c r="L484" s="94">
        <v>46137</v>
      </c>
      <c r="M484" s="86">
        <v>1</v>
      </c>
      <c r="N484" s="161">
        <v>10</v>
      </c>
      <c r="O484" s="161">
        <v>2611013501</v>
      </c>
      <c r="P484" s="179"/>
      <c r="Q484" s="162">
        <v>1000</v>
      </c>
      <c r="R484" s="163">
        <v>981</v>
      </c>
      <c r="S484" s="188" t="s">
        <v>0</v>
      </c>
    </row>
    <row r="485" spans="12:19" x14ac:dyDescent="0.25">
      <c r="L485" s="94">
        <v>46143</v>
      </c>
      <c r="M485" s="86">
        <v>1</v>
      </c>
      <c r="N485" s="161">
        <v>12</v>
      </c>
      <c r="O485" s="161">
        <v>2611013501</v>
      </c>
      <c r="P485" s="179"/>
      <c r="Q485" s="162">
        <v>1000</v>
      </c>
      <c r="R485" s="163">
        <v>991</v>
      </c>
      <c r="S485" s="188" t="s">
        <v>0</v>
      </c>
    </row>
    <row r="486" spans="12:19" x14ac:dyDescent="0.25">
      <c r="L486" s="94">
        <v>46143</v>
      </c>
      <c r="M486" s="86">
        <v>1</v>
      </c>
      <c r="N486" s="161">
        <v>13</v>
      </c>
      <c r="O486" s="161">
        <v>2611013501</v>
      </c>
      <c r="P486" s="179"/>
      <c r="Q486" s="162">
        <v>1000</v>
      </c>
      <c r="R486" s="163">
        <v>992</v>
      </c>
      <c r="S486" s="188" t="s">
        <v>0</v>
      </c>
    </row>
    <row r="487" spans="12:19" x14ac:dyDescent="0.25">
      <c r="L487" s="94">
        <v>46143</v>
      </c>
      <c r="M487" s="86">
        <v>1</v>
      </c>
      <c r="N487" s="161">
        <v>14</v>
      </c>
      <c r="O487" s="161">
        <v>2611013501</v>
      </c>
      <c r="P487" s="179"/>
      <c r="Q487" s="162">
        <v>1000</v>
      </c>
      <c r="R487" s="163">
        <v>1005</v>
      </c>
      <c r="S487" s="188" t="s">
        <v>0</v>
      </c>
    </row>
    <row r="488" spans="12:19" x14ac:dyDescent="0.25">
      <c r="L488" s="94">
        <v>46143</v>
      </c>
      <c r="M488" s="86">
        <v>1</v>
      </c>
      <c r="N488" s="161">
        <v>15</v>
      </c>
      <c r="O488" s="161">
        <v>2611013501</v>
      </c>
      <c r="P488" s="179"/>
      <c r="Q488" s="162">
        <v>1000</v>
      </c>
      <c r="R488" s="163">
        <v>961</v>
      </c>
      <c r="S488" s="188" t="s">
        <v>0</v>
      </c>
    </row>
    <row r="489" spans="12:19" x14ac:dyDescent="0.25">
      <c r="L489" s="94">
        <v>46143</v>
      </c>
      <c r="M489" s="86">
        <v>1</v>
      </c>
      <c r="N489" s="161">
        <v>16</v>
      </c>
      <c r="O489" s="161">
        <v>2611013501</v>
      </c>
      <c r="P489" s="179"/>
      <c r="Q489" s="162">
        <v>1000</v>
      </c>
      <c r="R489" s="163">
        <v>1050</v>
      </c>
      <c r="S489" s="188" t="s">
        <v>0</v>
      </c>
    </row>
    <row r="490" spans="12:19" x14ac:dyDescent="0.25">
      <c r="L490" s="94">
        <v>46143</v>
      </c>
      <c r="M490" s="86">
        <v>1</v>
      </c>
      <c r="N490" s="161">
        <v>17</v>
      </c>
      <c r="O490" s="161">
        <v>2611013501</v>
      </c>
      <c r="P490" s="179"/>
      <c r="Q490" s="162">
        <v>1000</v>
      </c>
      <c r="R490" s="163">
        <v>1023</v>
      </c>
      <c r="S490" s="188" t="s">
        <v>0</v>
      </c>
    </row>
    <row r="491" spans="12:19" x14ac:dyDescent="0.25">
      <c r="L491" s="94">
        <v>46143</v>
      </c>
      <c r="M491" s="86">
        <v>1</v>
      </c>
      <c r="N491" s="161">
        <v>18</v>
      </c>
      <c r="O491" s="161">
        <v>2611013501</v>
      </c>
      <c r="P491" s="179"/>
      <c r="Q491" s="162">
        <v>1000</v>
      </c>
      <c r="R491" s="163">
        <v>1006</v>
      </c>
      <c r="S491" s="188" t="s">
        <v>0</v>
      </c>
    </row>
    <row r="492" spans="12:19" x14ac:dyDescent="0.25">
      <c r="L492" s="94">
        <v>46143</v>
      </c>
      <c r="M492" s="86">
        <v>1</v>
      </c>
      <c r="N492" s="161">
        <v>19</v>
      </c>
      <c r="O492" s="161">
        <v>2611013501</v>
      </c>
      <c r="P492" s="179"/>
      <c r="Q492" s="162">
        <v>1000</v>
      </c>
      <c r="R492" s="163">
        <v>1009</v>
      </c>
      <c r="S492" s="188" t="s">
        <v>0</v>
      </c>
    </row>
    <row r="493" spans="12:19" ht="15.75" thickBot="1" x14ac:dyDescent="0.3">
      <c r="L493" s="95">
        <v>46143</v>
      </c>
      <c r="M493" s="96">
        <v>1</v>
      </c>
      <c r="N493" s="169">
        <v>20</v>
      </c>
      <c r="O493" s="169">
        <v>2611013501</v>
      </c>
      <c r="P493" s="181"/>
      <c r="Q493" s="170">
        <v>1000</v>
      </c>
      <c r="R493" s="171">
        <v>1008</v>
      </c>
      <c r="S493" s="188" t="s">
        <v>0</v>
      </c>
    </row>
    <row r="494" spans="12:19" ht="15.75" thickTop="1" x14ac:dyDescent="0.25">
      <c r="L494" s="98">
        <v>46144</v>
      </c>
      <c r="M494" s="97">
        <v>1</v>
      </c>
      <c r="N494" s="186">
        <v>1</v>
      </c>
      <c r="O494" s="186">
        <v>2612213501</v>
      </c>
      <c r="P494" s="189"/>
      <c r="Q494" s="190">
        <v>1000</v>
      </c>
      <c r="R494" s="191">
        <v>1000</v>
      </c>
      <c r="S494" s="225" t="s">
        <v>1</v>
      </c>
    </row>
    <row r="495" spans="12:19" x14ac:dyDescent="0.25">
      <c r="L495" s="94">
        <v>46144</v>
      </c>
      <c r="M495" s="86">
        <v>1</v>
      </c>
      <c r="N495" s="158">
        <v>2</v>
      </c>
      <c r="O495" s="158">
        <v>2612213501</v>
      </c>
      <c r="P495" s="192"/>
      <c r="Q495" s="193">
        <v>1000</v>
      </c>
      <c r="R495" s="194">
        <v>989</v>
      </c>
      <c r="S495" s="225" t="s">
        <v>1</v>
      </c>
    </row>
    <row r="496" spans="12:19" x14ac:dyDescent="0.25">
      <c r="L496" s="94">
        <v>46149</v>
      </c>
      <c r="M496" s="86">
        <v>1</v>
      </c>
      <c r="N496" s="158">
        <v>3</v>
      </c>
      <c r="O496" s="158">
        <v>2612213501</v>
      </c>
      <c r="P496" s="192"/>
      <c r="Q496" s="193">
        <v>1000</v>
      </c>
      <c r="R496" s="194">
        <v>960</v>
      </c>
      <c r="S496" s="225" t="s">
        <v>1</v>
      </c>
    </row>
    <row r="497" spans="12:19" x14ac:dyDescent="0.25">
      <c r="L497" s="94">
        <v>45784</v>
      </c>
      <c r="M497" s="86">
        <v>1</v>
      </c>
      <c r="N497" s="158">
        <v>4</v>
      </c>
      <c r="O497" s="158">
        <v>2612213501</v>
      </c>
      <c r="P497" s="192"/>
      <c r="Q497" s="193">
        <v>1000</v>
      </c>
      <c r="R497" s="194">
        <v>995</v>
      </c>
      <c r="S497" s="225" t="s">
        <v>1</v>
      </c>
    </row>
    <row r="498" spans="12:19" x14ac:dyDescent="0.25">
      <c r="L498" s="94">
        <v>46150</v>
      </c>
      <c r="M498" s="86">
        <v>1</v>
      </c>
      <c r="N498" s="158">
        <v>5</v>
      </c>
      <c r="O498" s="158">
        <v>2612213501</v>
      </c>
      <c r="P498" s="192"/>
      <c r="Q498" s="193">
        <v>1000</v>
      </c>
      <c r="R498" s="194">
        <v>964</v>
      </c>
      <c r="S498" s="225" t="s">
        <v>1</v>
      </c>
    </row>
    <row r="499" spans="12:19" x14ac:dyDescent="0.25">
      <c r="L499" s="94">
        <v>46150</v>
      </c>
      <c r="M499" s="86">
        <v>1</v>
      </c>
      <c r="N499" s="158">
        <v>6</v>
      </c>
      <c r="O499" s="158">
        <v>2612213501</v>
      </c>
      <c r="P499" s="192"/>
      <c r="Q499" s="193">
        <v>1000</v>
      </c>
      <c r="R499" s="194">
        <v>1000</v>
      </c>
      <c r="S499" s="225" t="s">
        <v>1</v>
      </c>
    </row>
    <row r="500" spans="12:19" x14ac:dyDescent="0.25">
      <c r="L500" s="94">
        <v>46150</v>
      </c>
      <c r="M500" s="86">
        <v>1</v>
      </c>
      <c r="N500" s="158">
        <v>7</v>
      </c>
      <c r="O500" s="158">
        <v>2612213501</v>
      </c>
      <c r="P500" s="192"/>
      <c r="Q500" s="193">
        <v>1000</v>
      </c>
      <c r="R500" s="194">
        <v>975</v>
      </c>
      <c r="S500" s="225" t="s">
        <v>1</v>
      </c>
    </row>
    <row r="501" spans="12:19" x14ac:dyDescent="0.25">
      <c r="L501" s="94">
        <v>46150</v>
      </c>
      <c r="M501" s="86">
        <v>1</v>
      </c>
      <c r="N501" s="158">
        <v>8</v>
      </c>
      <c r="O501" s="158">
        <v>2612213501</v>
      </c>
      <c r="P501" s="192"/>
      <c r="Q501" s="193">
        <v>1000</v>
      </c>
      <c r="R501" s="194">
        <v>976</v>
      </c>
      <c r="S501" s="225" t="s">
        <v>1</v>
      </c>
    </row>
    <row r="502" spans="12:19" x14ac:dyDescent="0.25">
      <c r="L502" s="94">
        <v>46154</v>
      </c>
      <c r="M502" s="86">
        <v>1</v>
      </c>
      <c r="N502" s="158">
        <v>9</v>
      </c>
      <c r="O502" s="158">
        <v>2612213501</v>
      </c>
      <c r="P502" s="192"/>
      <c r="Q502" s="193">
        <v>1000</v>
      </c>
      <c r="R502" s="194">
        <v>994</v>
      </c>
      <c r="S502" s="225" t="s">
        <v>1</v>
      </c>
    </row>
    <row r="503" spans="12:19" x14ac:dyDescent="0.25">
      <c r="L503" s="94">
        <v>46154</v>
      </c>
      <c r="M503" s="86">
        <v>1</v>
      </c>
      <c r="N503" s="158">
        <v>10</v>
      </c>
      <c r="O503" s="158">
        <v>2612213501</v>
      </c>
      <c r="P503" s="192"/>
      <c r="Q503" s="193">
        <v>1000</v>
      </c>
      <c r="R503" s="194">
        <v>1013</v>
      </c>
      <c r="S503" s="225" t="s">
        <v>1</v>
      </c>
    </row>
    <row r="504" spans="12:19" x14ac:dyDescent="0.25">
      <c r="L504" s="94">
        <v>46154</v>
      </c>
      <c r="M504" s="86">
        <v>1</v>
      </c>
      <c r="N504" s="158">
        <v>11</v>
      </c>
      <c r="O504" s="158">
        <v>2612213501</v>
      </c>
      <c r="P504" s="192"/>
      <c r="Q504" s="193">
        <v>1000</v>
      </c>
      <c r="R504" s="194">
        <v>982</v>
      </c>
      <c r="S504" s="225" t="s">
        <v>1</v>
      </c>
    </row>
    <row r="505" spans="12:19" x14ac:dyDescent="0.25">
      <c r="L505" s="94">
        <v>46154</v>
      </c>
      <c r="M505" s="86">
        <v>1</v>
      </c>
      <c r="N505" s="158">
        <v>12</v>
      </c>
      <c r="O505" s="158">
        <v>2612213501</v>
      </c>
      <c r="P505" s="192"/>
      <c r="Q505" s="193">
        <v>1000</v>
      </c>
      <c r="R505" s="194">
        <v>1020</v>
      </c>
      <c r="S505" s="225" t="s">
        <v>1</v>
      </c>
    </row>
    <row r="506" spans="12:19" x14ac:dyDescent="0.25">
      <c r="L506" s="94">
        <v>46155</v>
      </c>
      <c r="M506" s="86">
        <v>1</v>
      </c>
      <c r="N506" s="158">
        <v>13</v>
      </c>
      <c r="O506" s="158">
        <v>2612213501</v>
      </c>
      <c r="P506" s="192"/>
      <c r="Q506" s="193">
        <v>1000</v>
      </c>
      <c r="R506" s="194">
        <v>999</v>
      </c>
      <c r="S506" s="225" t="s">
        <v>1</v>
      </c>
    </row>
    <row r="507" spans="12:19" x14ac:dyDescent="0.25">
      <c r="L507" s="94">
        <v>46155</v>
      </c>
      <c r="M507" s="86">
        <v>1</v>
      </c>
      <c r="N507" s="158">
        <v>14</v>
      </c>
      <c r="O507" s="158">
        <v>2612213501</v>
      </c>
      <c r="P507" s="192"/>
      <c r="Q507" s="193">
        <v>1000</v>
      </c>
      <c r="R507" s="194">
        <v>991</v>
      </c>
      <c r="S507" s="225" t="s">
        <v>1</v>
      </c>
    </row>
    <row r="508" spans="12:19" x14ac:dyDescent="0.25">
      <c r="L508" s="94">
        <v>46155</v>
      </c>
      <c r="M508" s="86">
        <v>1</v>
      </c>
      <c r="N508" s="158">
        <v>15</v>
      </c>
      <c r="O508" s="158">
        <v>2612213501</v>
      </c>
      <c r="P508" s="192"/>
      <c r="Q508" s="193">
        <v>1000</v>
      </c>
      <c r="R508" s="194">
        <v>1011</v>
      </c>
      <c r="S508" s="225" t="s">
        <v>1</v>
      </c>
    </row>
    <row r="509" spans="12:19" x14ac:dyDescent="0.25">
      <c r="L509" s="94">
        <v>46155</v>
      </c>
      <c r="M509" s="86">
        <v>1</v>
      </c>
      <c r="N509" s="158">
        <v>16</v>
      </c>
      <c r="O509" s="158">
        <v>2612213501</v>
      </c>
      <c r="P509" s="192"/>
      <c r="Q509" s="193">
        <v>1000</v>
      </c>
      <c r="R509" s="194">
        <v>1004</v>
      </c>
      <c r="S509" s="225" t="s">
        <v>1</v>
      </c>
    </row>
    <row r="510" spans="12:19" x14ac:dyDescent="0.25">
      <c r="L510" s="94">
        <v>46155</v>
      </c>
      <c r="M510" s="86">
        <v>1</v>
      </c>
      <c r="N510" s="158">
        <v>17</v>
      </c>
      <c r="O510" s="158">
        <v>2612213501</v>
      </c>
      <c r="P510" s="192"/>
      <c r="Q510" s="193">
        <v>1000</v>
      </c>
      <c r="R510" s="194">
        <v>1010</v>
      </c>
      <c r="S510" s="225" t="s">
        <v>1</v>
      </c>
    </row>
    <row r="511" spans="12:19" x14ac:dyDescent="0.25">
      <c r="L511" s="94">
        <v>46158</v>
      </c>
      <c r="M511" s="86">
        <v>1</v>
      </c>
      <c r="N511" s="158">
        <v>18</v>
      </c>
      <c r="O511" s="158">
        <v>2612213501</v>
      </c>
      <c r="P511" s="192"/>
      <c r="Q511" s="193">
        <v>1000</v>
      </c>
      <c r="R511" s="194">
        <v>997</v>
      </c>
      <c r="S511" s="225" t="s">
        <v>1</v>
      </c>
    </row>
    <row r="512" spans="12:19" x14ac:dyDescent="0.25">
      <c r="L512" s="94">
        <v>46158</v>
      </c>
      <c r="M512" s="86">
        <v>1</v>
      </c>
      <c r="N512" s="158">
        <v>19</v>
      </c>
      <c r="O512" s="158">
        <v>2612213501</v>
      </c>
      <c r="P512" s="192"/>
      <c r="Q512" s="193">
        <v>1000</v>
      </c>
      <c r="R512" s="194">
        <v>1012</v>
      </c>
      <c r="S512" s="225" t="s">
        <v>1</v>
      </c>
    </row>
    <row r="513" spans="12:19" ht="15.75" thickBot="1" x14ac:dyDescent="0.3">
      <c r="L513" s="95">
        <v>46158</v>
      </c>
      <c r="M513" s="96">
        <v>1</v>
      </c>
      <c r="N513" s="184">
        <v>20</v>
      </c>
      <c r="O513" s="184">
        <v>2612213501</v>
      </c>
      <c r="P513" s="195"/>
      <c r="Q513" s="196">
        <v>1000</v>
      </c>
      <c r="R513" s="197">
        <v>1005</v>
      </c>
      <c r="S513" s="225" t="s">
        <v>1</v>
      </c>
    </row>
    <row r="514" spans="12:19" ht="15.75" thickTop="1" x14ac:dyDescent="0.25">
      <c r="L514" s="94">
        <v>46176</v>
      </c>
      <c r="M514" s="86">
        <v>1</v>
      </c>
      <c r="N514" s="161">
        <v>4</v>
      </c>
      <c r="O514" s="161">
        <v>2613613501</v>
      </c>
      <c r="P514" s="179"/>
      <c r="Q514" s="162">
        <v>1000</v>
      </c>
      <c r="R514" s="163">
        <v>982</v>
      </c>
      <c r="S514" s="164" t="s">
        <v>0</v>
      </c>
    </row>
    <row r="515" spans="12:19" x14ac:dyDescent="0.25">
      <c r="L515" s="94">
        <v>46179</v>
      </c>
      <c r="M515" s="86">
        <v>1</v>
      </c>
      <c r="N515" s="161">
        <v>5</v>
      </c>
      <c r="O515" s="161">
        <v>2613613501</v>
      </c>
      <c r="P515" s="179"/>
      <c r="Q515" s="162">
        <v>1000</v>
      </c>
      <c r="R515" s="163">
        <v>980</v>
      </c>
      <c r="S515" s="164" t="s">
        <v>0</v>
      </c>
    </row>
    <row r="516" spans="12:19" x14ac:dyDescent="0.25">
      <c r="L516" s="94">
        <v>46179</v>
      </c>
      <c r="M516" s="86">
        <v>1</v>
      </c>
      <c r="N516" s="161">
        <v>6</v>
      </c>
      <c r="O516" s="161">
        <v>2613613501</v>
      </c>
      <c r="P516" s="179"/>
      <c r="Q516" s="162">
        <v>1000</v>
      </c>
      <c r="R516" s="163">
        <v>982</v>
      </c>
      <c r="S516" s="164" t="s">
        <v>0</v>
      </c>
    </row>
    <row r="517" spans="12:19" x14ac:dyDescent="0.25">
      <c r="L517" s="94">
        <v>46191</v>
      </c>
      <c r="M517" s="86">
        <v>1</v>
      </c>
      <c r="N517" s="161">
        <v>7</v>
      </c>
      <c r="O517" s="161">
        <v>2613613501</v>
      </c>
      <c r="P517" s="179"/>
      <c r="Q517" s="162">
        <v>1000</v>
      </c>
      <c r="R517" s="163">
        <v>987</v>
      </c>
      <c r="S517" s="164" t="s">
        <v>0</v>
      </c>
    </row>
    <row r="518" spans="12:19" x14ac:dyDescent="0.25">
      <c r="L518" s="94">
        <v>46192</v>
      </c>
      <c r="M518" s="86">
        <v>1</v>
      </c>
      <c r="N518" s="161">
        <v>12</v>
      </c>
      <c r="O518" s="161">
        <v>2613613501</v>
      </c>
      <c r="P518" s="179"/>
      <c r="Q518" s="162">
        <v>1000</v>
      </c>
      <c r="R518" s="163">
        <v>998</v>
      </c>
      <c r="S518" s="164" t="s">
        <v>0</v>
      </c>
    </row>
    <row r="519" spans="12:19" x14ac:dyDescent="0.25">
      <c r="L519" s="94">
        <v>46200</v>
      </c>
      <c r="M519" s="86">
        <v>1</v>
      </c>
      <c r="N519" s="161">
        <v>13</v>
      </c>
      <c r="O519" s="161">
        <v>2613613501</v>
      </c>
      <c r="P519" s="179"/>
      <c r="Q519" s="162">
        <v>1000</v>
      </c>
      <c r="R519" s="163">
        <v>983</v>
      </c>
      <c r="S519" s="164" t="s">
        <v>0</v>
      </c>
    </row>
    <row r="520" spans="12:19" x14ac:dyDescent="0.25">
      <c r="L520" s="94">
        <v>46200</v>
      </c>
      <c r="M520" s="86">
        <v>1</v>
      </c>
      <c r="N520" s="161">
        <v>14</v>
      </c>
      <c r="O520" s="161">
        <v>2613613501</v>
      </c>
      <c r="P520" s="179"/>
      <c r="Q520" s="162">
        <v>1000</v>
      </c>
      <c r="R520" s="163">
        <v>984</v>
      </c>
      <c r="S520" s="164" t="s">
        <v>0</v>
      </c>
    </row>
    <row r="521" spans="12:19" x14ac:dyDescent="0.25">
      <c r="L521" s="94">
        <v>46204</v>
      </c>
      <c r="M521" s="86">
        <v>1</v>
      </c>
      <c r="N521" s="161">
        <v>15</v>
      </c>
      <c r="O521" s="161">
        <v>2613613501</v>
      </c>
      <c r="P521" s="179"/>
      <c r="Q521" s="162">
        <v>1000</v>
      </c>
      <c r="R521" s="163">
        <v>966</v>
      </c>
      <c r="S521" s="164" t="s">
        <v>0</v>
      </c>
    </row>
    <row r="522" spans="12:19" x14ac:dyDescent="0.25">
      <c r="L522" s="94">
        <v>46204</v>
      </c>
      <c r="M522" s="86">
        <v>1</v>
      </c>
      <c r="N522" s="221">
        <v>16</v>
      </c>
      <c r="O522" s="221">
        <v>2613613501</v>
      </c>
      <c r="P522" s="222"/>
      <c r="Q522" s="223">
        <v>1000</v>
      </c>
      <c r="R522" s="224">
        <v>986</v>
      </c>
      <c r="S522" s="220" t="s">
        <v>2</v>
      </c>
    </row>
    <row r="523" spans="12:19" x14ac:dyDescent="0.25">
      <c r="L523" s="94">
        <v>46206</v>
      </c>
      <c r="M523" s="86">
        <v>1</v>
      </c>
      <c r="N523" s="221">
        <v>17</v>
      </c>
      <c r="O523" s="221">
        <v>2613613501</v>
      </c>
      <c r="P523" s="222"/>
      <c r="Q523" s="223">
        <v>1000</v>
      </c>
      <c r="R523" s="224">
        <v>961</v>
      </c>
      <c r="S523" s="220" t="s">
        <v>2</v>
      </c>
    </row>
    <row r="524" spans="12:19" x14ac:dyDescent="0.25">
      <c r="L524" s="94">
        <v>46206</v>
      </c>
      <c r="M524" s="86">
        <v>1</v>
      </c>
      <c r="N524" s="221">
        <v>18</v>
      </c>
      <c r="O524" s="221">
        <v>2613613501</v>
      </c>
      <c r="P524" s="222"/>
      <c r="Q524" s="223">
        <v>1000</v>
      </c>
      <c r="R524" s="224">
        <v>986</v>
      </c>
      <c r="S524" s="220" t="s">
        <v>2</v>
      </c>
    </row>
    <row r="525" spans="12:19" x14ac:dyDescent="0.25">
      <c r="L525" s="94">
        <v>46206</v>
      </c>
      <c r="M525" s="86">
        <v>1</v>
      </c>
      <c r="N525" s="221">
        <v>19</v>
      </c>
      <c r="O525" s="221">
        <v>2613613501</v>
      </c>
      <c r="P525" s="222"/>
      <c r="Q525" s="223">
        <v>1000</v>
      </c>
      <c r="R525" s="224">
        <v>980</v>
      </c>
      <c r="S525" s="220" t="s">
        <v>2</v>
      </c>
    </row>
    <row r="526" spans="12:19" ht="15.75" thickBot="1" x14ac:dyDescent="0.3">
      <c r="L526" s="95">
        <v>46207</v>
      </c>
      <c r="M526" s="96">
        <v>1</v>
      </c>
      <c r="N526" s="169">
        <v>20</v>
      </c>
      <c r="O526" s="169">
        <v>2613613501</v>
      </c>
      <c r="P526" s="181"/>
      <c r="Q526" s="170">
        <v>1000</v>
      </c>
      <c r="R526" s="171">
        <v>916</v>
      </c>
      <c r="S526" s="172" t="s">
        <v>0</v>
      </c>
    </row>
    <row r="527" spans="12:19" ht="15.75" thickTop="1" x14ac:dyDescent="0.25">
      <c r="L527" s="98">
        <v>46207</v>
      </c>
      <c r="M527" s="97">
        <v>1</v>
      </c>
      <c r="N527" s="165">
        <v>1</v>
      </c>
      <c r="O527" s="165">
        <v>2618513501</v>
      </c>
      <c r="P527" s="180"/>
      <c r="Q527" s="166">
        <v>1000</v>
      </c>
      <c r="R527" s="167">
        <v>976</v>
      </c>
      <c r="S527" s="168" t="s">
        <v>0</v>
      </c>
    </row>
    <row r="528" spans="12:19" x14ac:dyDescent="0.25">
      <c r="L528" s="94">
        <v>46207</v>
      </c>
      <c r="M528" s="86">
        <v>1</v>
      </c>
      <c r="N528" s="161">
        <v>2</v>
      </c>
      <c r="O528" s="161">
        <v>2618513501</v>
      </c>
      <c r="P528" s="179"/>
      <c r="Q528" s="162">
        <v>1000</v>
      </c>
      <c r="R528" s="163">
        <v>1005</v>
      </c>
      <c r="S528" s="164" t="s">
        <v>0</v>
      </c>
    </row>
    <row r="529" spans="12:19" x14ac:dyDescent="0.25">
      <c r="L529" s="94">
        <v>46207</v>
      </c>
      <c r="M529" s="86">
        <v>1</v>
      </c>
      <c r="N529" s="161">
        <v>3</v>
      </c>
      <c r="O529" s="161">
        <v>2618513501</v>
      </c>
      <c r="P529" s="179"/>
      <c r="Q529" s="162">
        <v>1000</v>
      </c>
      <c r="R529" s="163">
        <v>985</v>
      </c>
      <c r="S529" s="164" t="s">
        <v>0</v>
      </c>
    </row>
    <row r="530" spans="12:19" x14ac:dyDescent="0.25">
      <c r="L530" s="94">
        <v>46207</v>
      </c>
      <c r="M530" s="86">
        <v>1</v>
      </c>
      <c r="N530" s="161">
        <v>4</v>
      </c>
      <c r="O530" s="161">
        <v>2618513501</v>
      </c>
      <c r="P530" s="179"/>
      <c r="Q530" s="162">
        <v>1000</v>
      </c>
      <c r="R530" s="163">
        <v>928</v>
      </c>
      <c r="S530" s="164" t="s">
        <v>0</v>
      </c>
    </row>
    <row r="531" spans="12:19" x14ac:dyDescent="0.25">
      <c r="L531" s="94">
        <v>46207</v>
      </c>
      <c r="M531" s="86">
        <v>1</v>
      </c>
      <c r="N531" s="161">
        <v>5</v>
      </c>
      <c r="O531" s="161">
        <v>2618513501</v>
      </c>
      <c r="P531" s="179"/>
      <c r="Q531" s="162">
        <v>1000</v>
      </c>
      <c r="R531" s="163">
        <v>991</v>
      </c>
      <c r="S531" s="164" t="s">
        <v>0</v>
      </c>
    </row>
    <row r="532" spans="12:19" x14ac:dyDescent="0.25">
      <c r="L532" s="94">
        <v>46207</v>
      </c>
      <c r="M532" s="86">
        <v>1</v>
      </c>
      <c r="N532" s="161">
        <v>6</v>
      </c>
      <c r="O532" s="161">
        <v>2618513501</v>
      </c>
      <c r="P532" s="179"/>
      <c r="Q532" s="162">
        <v>1000</v>
      </c>
      <c r="R532" s="163">
        <v>987</v>
      </c>
      <c r="S532" s="164" t="s">
        <v>0</v>
      </c>
    </row>
    <row r="533" spans="12:19" x14ac:dyDescent="0.25">
      <c r="L533" s="94">
        <v>46207</v>
      </c>
      <c r="M533" s="86">
        <v>1</v>
      </c>
      <c r="N533" s="161">
        <v>7</v>
      </c>
      <c r="O533" s="161">
        <v>2618513501</v>
      </c>
      <c r="P533" s="179"/>
      <c r="Q533" s="162">
        <v>1000</v>
      </c>
      <c r="R533" s="163">
        <v>988</v>
      </c>
      <c r="S533" s="164" t="s">
        <v>0</v>
      </c>
    </row>
    <row r="534" spans="12:19" x14ac:dyDescent="0.25">
      <c r="L534" s="94">
        <v>46207</v>
      </c>
      <c r="M534" s="86">
        <v>1</v>
      </c>
      <c r="N534" s="161">
        <v>8</v>
      </c>
      <c r="O534" s="161">
        <v>2618513501</v>
      </c>
      <c r="P534" s="179"/>
      <c r="Q534" s="162">
        <v>1000</v>
      </c>
      <c r="R534" s="163">
        <v>933</v>
      </c>
      <c r="S534" s="164" t="s">
        <v>0</v>
      </c>
    </row>
    <row r="535" spans="12:19" x14ac:dyDescent="0.25">
      <c r="L535" s="94">
        <v>46207</v>
      </c>
      <c r="M535" s="86">
        <v>1</v>
      </c>
      <c r="N535" s="161">
        <v>9</v>
      </c>
      <c r="O535" s="161">
        <v>2618513501</v>
      </c>
      <c r="P535" s="179"/>
      <c r="Q535" s="162">
        <v>1000</v>
      </c>
      <c r="R535" s="163">
        <v>972</v>
      </c>
      <c r="S535" s="164" t="s">
        <v>0</v>
      </c>
    </row>
    <row r="536" spans="12:19" x14ac:dyDescent="0.25">
      <c r="L536" s="94">
        <v>46207</v>
      </c>
      <c r="M536" s="86">
        <v>1</v>
      </c>
      <c r="N536" s="161">
        <v>10</v>
      </c>
      <c r="O536" s="161">
        <v>2618513501</v>
      </c>
      <c r="P536" s="179"/>
      <c r="Q536" s="162">
        <v>1000</v>
      </c>
      <c r="R536" s="163">
        <v>981</v>
      </c>
      <c r="S536" s="164" t="s">
        <v>0</v>
      </c>
    </row>
    <row r="537" spans="12:19" x14ac:dyDescent="0.25">
      <c r="L537" s="94">
        <v>46215</v>
      </c>
      <c r="M537" s="86">
        <v>1</v>
      </c>
      <c r="N537" s="161">
        <v>11</v>
      </c>
      <c r="O537" s="161">
        <v>2618513501</v>
      </c>
      <c r="P537" s="179"/>
      <c r="Q537" s="162">
        <v>1000</v>
      </c>
      <c r="R537" s="163">
        <v>989</v>
      </c>
      <c r="S537" s="164" t="s">
        <v>0</v>
      </c>
    </row>
    <row r="538" spans="12:19" x14ac:dyDescent="0.25">
      <c r="L538" s="94">
        <v>46215</v>
      </c>
      <c r="M538" s="86">
        <v>1</v>
      </c>
      <c r="N538" s="161">
        <v>12</v>
      </c>
      <c r="O538" s="161">
        <v>2618513501</v>
      </c>
      <c r="P538" s="179"/>
      <c r="Q538" s="162">
        <v>1000</v>
      </c>
      <c r="R538" s="163">
        <v>1007</v>
      </c>
      <c r="S538" s="164" t="s">
        <v>0</v>
      </c>
    </row>
    <row r="539" spans="12:19" x14ac:dyDescent="0.25">
      <c r="L539" s="94">
        <v>46219</v>
      </c>
      <c r="M539" s="86">
        <v>1</v>
      </c>
      <c r="N539" s="161">
        <v>13</v>
      </c>
      <c r="O539" s="161">
        <v>2618513501</v>
      </c>
      <c r="P539" s="179"/>
      <c r="Q539" s="162">
        <v>1000</v>
      </c>
      <c r="R539" s="163">
        <v>990</v>
      </c>
      <c r="S539" s="164" t="s">
        <v>0</v>
      </c>
    </row>
    <row r="540" spans="12:19" x14ac:dyDescent="0.25">
      <c r="L540" s="94">
        <v>46219</v>
      </c>
      <c r="M540" s="86">
        <v>1</v>
      </c>
      <c r="N540" s="161">
        <v>14</v>
      </c>
      <c r="O540" s="161">
        <v>2618513501</v>
      </c>
      <c r="P540" s="179"/>
      <c r="Q540" s="162">
        <v>1000</v>
      </c>
      <c r="R540" s="163">
        <v>903</v>
      </c>
      <c r="S540" s="164" t="s">
        <v>0</v>
      </c>
    </row>
    <row r="541" spans="12:19" x14ac:dyDescent="0.25">
      <c r="L541" s="94">
        <v>46219</v>
      </c>
      <c r="M541" s="86">
        <v>1</v>
      </c>
      <c r="N541" s="161">
        <v>15</v>
      </c>
      <c r="O541" s="161">
        <v>2618513501</v>
      </c>
      <c r="P541" s="179"/>
      <c r="Q541" s="162">
        <v>1000</v>
      </c>
      <c r="R541" s="163">
        <v>982</v>
      </c>
      <c r="S541" s="164" t="s">
        <v>0</v>
      </c>
    </row>
    <row r="542" spans="12:19" x14ac:dyDescent="0.25">
      <c r="L542" s="94">
        <v>46219</v>
      </c>
      <c r="M542" s="86">
        <v>1</v>
      </c>
      <c r="N542" s="161">
        <v>16</v>
      </c>
      <c r="O542" s="161">
        <v>2618513501</v>
      </c>
      <c r="P542" s="179"/>
      <c r="Q542" s="162">
        <v>1000</v>
      </c>
      <c r="R542" s="163">
        <v>878</v>
      </c>
      <c r="S542" s="164" t="s">
        <v>0</v>
      </c>
    </row>
    <row r="543" spans="12:19" x14ac:dyDescent="0.25">
      <c r="L543" s="94">
        <v>46219</v>
      </c>
      <c r="M543" s="86">
        <v>1</v>
      </c>
      <c r="N543" s="161">
        <v>17</v>
      </c>
      <c r="O543" s="161">
        <v>2618513501</v>
      </c>
      <c r="P543" s="179"/>
      <c r="Q543" s="162">
        <v>1000</v>
      </c>
      <c r="R543" s="163">
        <v>943</v>
      </c>
      <c r="S543" s="164" t="s">
        <v>0</v>
      </c>
    </row>
    <row r="544" spans="12:19" x14ac:dyDescent="0.25">
      <c r="L544" s="94">
        <v>46228</v>
      </c>
      <c r="M544" s="86">
        <v>1</v>
      </c>
      <c r="N544" s="161">
        <v>18</v>
      </c>
      <c r="O544" s="161">
        <v>2618513501</v>
      </c>
      <c r="P544" s="179"/>
      <c r="Q544" s="162">
        <v>1000</v>
      </c>
      <c r="R544" s="163">
        <v>949</v>
      </c>
      <c r="S544" s="164" t="s">
        <v>0</v>
      </c>
    </row>
    <row r="545" spans="12:19" x14ac:dyDescent="0.25">
      <c r="L545" s="94">
        <v>46228</v>
      </c>
      <c r="M545" s="86">
        <v>1</v>
      </c>
      <c r="N545" s="161">
        <v>19</v>
      </c>
      <c r="O545" s="161">
        <v>2618513501</v>
      </c>
      <c r="P545" s="179"/>
      <c r="Q545" s="162">
        <v>1000</v>
      </c>
      <c r="R545" s="163">
        <v>976</v>
      </c>
      <c r="S545" s="164" t="s">
        <v>0</v>
      </c>
    </row>
    <row r="546" spans="12:19" ht="15.75" thickBot="1" x14ac:dyDescent="0.3">
      <c r="L546" s="95">
        <v>46228</v>
      </c>
      <c r="M546" s="96">
        <v>1</v>
      </c>
      <c r="N546" s="169">
        <v>20</v>
      </c>
      <c r="O546" s="169">
        <v>2618513501</v>
      </c>
      <c r="P546" s="181"/>
      <c r="Q546" s="170">
        <v>1000</v>
      </c>
      <c r="R546" s="171">
        <v>975</v>
      </c>
      <c r="S546" s="172" t="s">
        <v>0</v>
      </c>
    </row>
    <row r="547" spans="12:19" ht="15.75" thickTop="1" x14ac:dyDescent="0.25">
      <c r="L547" s="98">
        <v>46229</v>
      </c>
      <c r="M547" s="97">
        <v>1</v>
      </c>
      <c r="N547" s="165">
        <v>1</v>
      </c>
      <c r="O547" s="165">
        <v>2620713501</v>
      </c>
      <c r="P547" s="180"/>
      <c r="Q547" s="166">
        <v>1000</v>
      </c>
      <c r="R547" s="167">
        <v>924</v>
      </c>
      <c r="S547" s="236" t="s">
        <v>0</v>
      </c>
    </row>
    <row r="548" spans="12:19" x14ac:dyDescent="0.25">
      <c r="L548" s="94">
        <v>46229</v>
      </c>
      <c r="M548" s="86">
        <v>1</v>
      </c>
      <c r="N548" s="161">
        <v>2</v>
      </c>
      <c r="O548" s="161">
        <v>2620713501</v>
      </c>
      <c r="P548" s="179"/>
      <c r="Q548" s="162">
        <v>1000</v>
      </c>
      <c r="R548" s="163">
        <v>965</v>
      </c>
      <c r="S548" s="188" t="s">
        <v>0</v>
      </c>
    </row>
    <row r="549" spans="12:19" x14ac:dyDescent="0.25">
      <c r="L549" s="94">
        <v>46231</v>
      </c>
      <c r="M549" s="86">
        <v>1</v>
      </c>
      <c r="N549" s="161">
        <v>3</v>
      </c>
      <c r="O549" s="161">
        <v>2620713501</v>
      </c>
      <c r="P549" s="179"/>
      <c r="Q549" s="162">
        <v>1000</v>
      </c>
      <c r="R549" s="163">
        <v>1000</v>
      </c>
      <c r="S549" s="188" t="s">
        <v>0</v>
      </c>
    </row>
    <row r="550" spans="12:19" x14ac:dyDescent="0.25">
      <c r="L550" s="94">
        <v>46231</v>
      </c>
      <c r="M550" s="86">
        <v>1</v>
      </c>
      <c r="N550" s="161">
        <v>4</v>
      </c>
      <c r="O550" s="161">
        <v>2620713501</v>
      </c>
      <c r="P550" s="179"/>
      <c r="Q550" s="162">
        <v>1000</v>
      </c>
      <c r="R550" s="163">
        <v>942</v>
      </c>
      <c r="S550" s="188" t="s">
        <v>0</v>
      </c>
    </row>
    <row r="551" spans="12:19" x14ac:dyDescent="0.25">
      <c r="L551" s="94">
        <v>46231</v>
      </c>
      <c r="M551" s="86">
        <v>1</v>
      </c>
      <c r="N551" s="161">
        <v>5</v>
      </c>
      <c r="O551" s="161">
        <v>2620713501</v>
      </c>
      <c r="P551" s="179"/>
      <c r="Q551" s="162">
        <v>1000</v>
      </c>
      <c r="R551" s="163">
        <v>1005</v>
      </c>
      <c r="S551" s="188" t="s">
        <v>0</v>
      </c>
    </row>
    <row r="552" spans="12:19" x14ac:dyDescent="0.25">
      <c r="L552" s="94">
        <v>46232</v>
      </c>
      <c r="M552" s="86">
        <v>1</v>
      </c>
      <c r="N552" s="161">
        <v>6</v>
      </c>
      <c r="O552" s="161">
        <v>2620713501</v>
      </c>
      <c r="P552" s="179"/>
      <c r="Q552" s="162">
        <v>1000</v>
      </c>
      <c r="R552" s="163">
        <v>983</v>
      </c>
      <c r="S552" s="188" t="s">
        <v>0</v>
      </c>
    </row>
    <row r="553" spans="12:19" x14ac:dyDescent="0.25">
      <c r="L553" s="94">
        <v>46232</v>
      </c>
      <c r="M553" s="86">
        <v>1</v>
      </c>
      <c r="N553" s="161">
        <v>7</v>
      </c>
      <c r="O553" s="161">
        <v>2620713501</v>
      </c>
      <c r="P553" s="179"/>
      <c r="Q553" s="162">
        <v>1000</v>
      </c>
      <c r="R553" s="163">
        <v>982</v>
      </c>
      <c r="S553" s="188" t="s">
        <v>0</v>
      </c>
    </row>
    <row r="554" spans="12:19" x14ac:dyDescent="0.25">
      <c r="L554" s="94">
        <v>46232</v>
      </c>
      <c r="M554" s="86">
        <v>1</v>
      </c>
      <c r="N554" s="161">
        <v>8</v>
      </c>
      <c r="O554" s="161">
        <v>2620713501</v>
      </c>
      <c r="P554" s="179"/>
      <c r="Q554" s="162">
        <v>1000</v>
      </c>
      <c r="R554" s="163">
        <v>975</v>
      </c>
      <c r="S554" s="188" t="s">
        <v>0</v>
      </c>
    </row>
    <row r="555" spans="12:19" x14ac:dyDescent="0.25">
      <c r="L555" s="94">
        <v>46232</v>
      </c>
      <c r="M555" s="86">
        <v>1</v>
      </c>
      <c r="N555" s="221">
        <v>9</v>
      </c>
      <c r="O555" s="221">
        <v>2620713501</v>
      </c>
      <c r="P555" s="222"/>
      <c r="Q555" s="223">
        <v>1000</v>
      </c>
      <c r="R555" s="224">
        <v>989</v>
      </c>
      <c r="S555" s="235" t="s">
        <v>2</v>
      </c>
    </row>
    <row r="556" spans="12:19" x14ac:dyDescent="0.25">
      <c r="L556" s="94">
        <v>46232</v>
      </c>
      <c r="M556" s="86">
        <v>1</v>
      </c>
      <c r="N556" s="161">
        <v>10</v>
      </c>
      <c r="O556" s="161">
        <v>2620713501</v>
      </c>
      <c r="P556" s="179"/>
      <c r="Q556" s="162">
        <v>1000</v>
      </c>
      <c r="R556" s="163">
        <v>979</v>
      </c>
      <c r="S556" s="188" t="s">
        <v>0</v>
      </c>
    </row>
    <row r="557" spans="12:19" x14ac:dyDescent="0.25">
      <c r="L557" s="94">
        <v>46233</v>
      </c>
      <c r="M557" s="86">
        <v>1</v>
      </c>
      <c r="N557" s="161">
        <v>11</v>
      </c>
      <c r="O557" s="161">
        <v>2620713501</v>
      </c>
      <c r="P557" s="179"/>
      <c r="Q557" s="162">
        <v>1000</v>
      </c>
      <c r="R557" s="163">
        <v>945</v>
      </c>
      <c r="S557" s="188" t="s">
        <v>0</v>
      </c>
    </row>
    <row r="558" spans="12:19" x14ac:dyDescent="0.25">
      <c r="L558" s="94">
        <v>46233</v>
      </c>
      <c r="M558" s="86">
        <v>1</v>
      </c>
      <c r="N558" s="161">
        <v>12</v>
      </c>
      <c r="O558" s="161">
        <v>2620713501</v>
      </c>
      <c r="P558" s="179"/>
      <c r="Q558" s="162">
        <v>1000</v>
      </c>
      <c r="R558" s="163">
        <v>960</v>
      </c>
      <c r="S558" s="188" t="s">
        <v>0</v>
      </c>
    </row>
    <row r="559" spans="12:19" x14ac:dyDescent="0.25">
      <c r="L559" s="94">
        <v>46233</v>
      </c>
      <c r="M559" s="86">
        <v>1</v>
      </c>
      <c r="N559" s="161">
        <v>13</v>
      </c>
      <c r="O559" s="161">
        <v>2620713501</v>
      </c>
      <c r="P559" s="179"/>
      <c r="Q559" s="162">
        <v>1000</v>
      </c>
      <c r="R559" s="163">
        <v>970</v>
      </c>
      <c r="S559" s="188" t="s">
        <v>0</v>
      </c>
    </row>
    <row r="560" spans="12:19" x14ac:dyDescent="0.25">
      <c r="L560" s="94">
        <v>46234</v>
      </c>
      <c r="M560" s="86">
        <v>1</v>
      </c>
      <c r="N560" s="161">
        <v>14</v>
      </c>
      <c r="O560" s="161">
        <v>2620713501</v>
      </c>
      <c r="P560" s="179"/>
      <c r="Q560" s="162">
        <v>1000</v>
      </c>
      <c r="R560" s="163">
        <v>1009</v>
      </c>
      <c r="S560" s="188" t="s">
        <v>0</v>
      </c>
    </row>
    <row r="561" spans="12:19" x14ac:dyDescent="0.25">
      <c r="L561" s="94">
        <v>46235</v>
      </c>
      <c r="M561" s="86">
        <v>1</v>
      </c>
      <c r="N561" s="161">
        <v>15</v>
      </c>
      <c r="O561" s="161">
        <v>2620713501</v>
      </c>
      <c r="P561" s="179"/>
      <c r="Q561" s="162">
        <v>1000</v>
      </c>
      <c r="R561" s="163">
        <v>967</v>
      </c>
      <c r="S561" s="188" t="s">
        <v>0</v>
      </c>
    </row>
    <row r="562" spans="12:19" x14ac:dyDescent="0.25">
      <c r="L562" s="94">
        <v>46235</v>
      </c>
      <c r="M562" s="86">
        <v>1</v>
      </c>
      <c r="N562" s="221">
        <v>16</v>
      </c>
      <c r="O562" s="221">
        <v>2620713501</v>
      </c>
      <c r="P562" s="222"/>
      <c r="Q562" s="223">
        <v>1000</v>
      </c>
      <c r="R562" s="224">
        <v>993</v>
      </c>
      <c r="S562" s="235" t="s">
        <v>2</v>
      </c>
    </row>
    <row r="563" spans="12:19" x14ac:dyDescent="0.25">
      <c r="L563" s="94">
        <v>46235</v>
      </c>
      <c r="M563" s="86">
        <v>1</v>
      </c>
      <c r="N563" s="161">
        <v>17</v>
      </c>
      <c r="O563" s="161">
        <v>2620713501</v>
      </c>
      <c r="P563" s="179"/>
      <c r="Q563" s="162">
        <v>1000</v>
      </c>
      <c r="R563" s="163">
        <v>986</v>
      </c>
      <c r="S563" s="188" t="s">
        <v>0</v>
      </c>
    </row>
    <row r="564" spans="12:19" x14ac:dyDescent="0.25">
      <c r="L564" s="94">
        <v>46235</v>
      </c>
      <c r="M564" s="86">
        <v>1</v>
      </c>
      <c r="N564" s="221">
        <v>18</v>
      </c>
      <c r="O564" s="221">
        <v>2620713501</v>
      </c>
      <c r="P564" s="222"/>
      <c r="Q564" s="223">
        <v>1000</v>
      </c>
      <c r="R564" s="224">
        <v>996</v>
      </c>
      <c r="S564" s="235" t="s">
        <v>2</v>
      </c>
    </row>
    <row r="565" spans="12:19" x14ac:dyDescent="0.25">
      <c r="L565" s="94">
        <v>46235</v>
      </c>
      <c r="M565" s="86">
        <v>1</v>
      </c>
      <c r="N565" s="161">
        <v>19</v>
      </c>
      <c r="O565" s="161">
        <v>2620713501</v>
      </c>
      <c r="P565" s="179"/>
      <c r="Q565" s="162">
        <v>1000</v>
      </c>
      <c r="R565" s="163">
        <v>960</v>
      </c>
      <c r="S565" s="188" t="s">
        <v>0</v>
      </c>
    </row>
    <row r="566" spans="12:19" ht="15.75" thickBot="1" x14ac:dyDescent="0.3">
      <c r="L566" s="95">
        <v>46235</v>
      </c>
      <c r="M566" s="96">
        <v>1</v>
      </c>
      <c r="N566" s="169">
        <v>20</v>
      </c>
      <c r="O566" s="169">
        <v>2620713501</v>
      </c>
      <c r="P566" s="181"/>
      <c r="Q566" s="170">
        <v>1000</v>
      </c>
      <c r="R566" s="171">
        <v>988</v>
      </c>
      <c r="S566" s="237" t="s">
        <v>0</v>
      </c>
    </row>
    <row r="567" spans="12:19" ht="15.75" thickTop="1" x14ac:dyDescent="0.25">
      <c r="L567" s="98">
        <v>46236</v>
      </c>
      <c r="M567" s="97">
        <v>1</v>
      </c>
      <c r="N567" s="165">
        <v>1</v>
      </c>
      <c r="O567" s="165">
        <v>2621413501</v>
      </c>
      <c r="P567" s="180"/>
      <c r="Q567" s="166">
        <v>1000</v>
      </c>
      <c r="R567" s="167">
        <v>961</v>
      </c>
      <c r="S567" s="236" t="s">
        <v>0</v>
      </c>
    </row>
    <row r="568" spans="12:19" x14ac:dyDescent="0.25">
      <c r="L568" s="94">
        <v>46237</v>
      </c>
      <c r="M568" s="86">
        <v>1</v>
      </c>
      <c r="N568" s="161">
        <v>2</v>
      </c>
      <c r="O568" s="161">
        <v>2621413501</v>
      </c>
      <c r="P568" s="179"/>
      <c r="Q568" s="162">
        <v>1000</v>
      </c>
      <c r="R568" s="163">
        <v>1003</v>
      </c>
      <c r="S568" s="188" t="s">
        <v>0</v>
      </c>
    </row>
    <row r="569" spans="12:19" x14ac:dyDescent="0.25">
      <c r="L569" s="94">
        <v>46237</v>
      </c>
      <c r="M569" s="86">
        <v>1</v>
      </c>
      <c r="N569" s="161">
        <v>3</v>
      </c>
      <c r="O569" s="161">
        <v>2621413501</v>
      </c>
      <c r="P569" s="179"/>
      <c r="Q569" s="162">
        <v>1000</v>
      </c>
      <c r="R569" s="163">
        <v>1000</v>
      </c>
      <c r="S569" s="188" t="s">
        <v>0</v>
      </c>
    </row>
    <row r="570" spans="12:19" x14ac:dyDescent="0.25">
      <c r="L570" s="94">
        <v>46237</v>
      </c>
      <c r="M570" s="86">
        <v>1</v>
      </c>
      <c r="N570" s="221">
        <v>4</v>
      </c>
      <c r="O570" s="221">
        <v>2621413501</v>
      </c>
      <c r="P570" s="222"/>
      <c r="Q570" s="223">
        <v>1000</v>
      </c>
      <c r="R570" s="224">
        <v>981</v>
      </c>
      <c r="S570" s="235" t="s">
        <v>2</v>
      </c>
    </row>
    <row r="571" spans="12:19" x14ac:dyDescent="0.25">
      <c r="L571" s="94">
        <v>46238</v>
      </c>
      <c r="M571" s="86">
        <v>1</v>
      </c>
      <c r="N571" s="221">
        <v>5</v>
      </c>
      <c r="O571" s="221">
        <v>2621413501</v>
      </c>
      <c r="P571" s="222"/>
      <c r="Q571" s="223">
        <v>1000</v>
      </c>
      <c r="R571" s="224">
        <v>977</v>
      </c>
      <c r="S571" s="235" t="s">
        <v>2</v>
      </c>
    </row>
    <row r="572" spans="12:19" x14ac:dyDescent="0.25">
      <c r="L572" s="94">
        <v>46238</v>
      </c>
      <c r="M572" s="86">
        <v>1</v>
      </c>
      <c r="N572" s="221">
        <v>6</v>
      </c>
      <c r="O572" s="221">
        <v>2621413501</v>
      </c>
      <c r="P572" s="222"/>
      <c r="Q572" s="223">
        <v>1000</v>
      </c>
      <c r="R572" s="224">
        <v>996</v>
      </c>
      <c r="S572" s="235" t="s">
        <v>2</v>
      </c>
    </row>
    <row r="573" spans="12:19" x14ac:dyDescent="0.25">
      <c r="L573" s="94">
        <v>46238</v>
      </c>
      <c r="M573" s="86">
        <v>1</v>
      </c>
      <c r="N573" s="161">
        <v>7</v>
      </c>
      <c r="O573" s="161">
        <v>2621413501</v>
      </c>
      <c r="P573" s="179"/>
      <c r="Q573" s="162">
        <v>1000</v>
      </c>
      <c r="R573" s="163">
        <v>976</v>
      </c>
      <c r="S573" s="188" t="s">
        <v>0</v>
      </c>
    </row>
    <row r="574" spans="12:19" x14ac:dyDescent="0.25">
      <c r="L574" s="94">
        <v>46238</v>
      </c>
      <c r="M574" s="86">
        <v>1</v>
      </c>
      <c r="N574" s="161">
        <v>8</v>
      </c>
      <c r="O574" s="161">
        <v>2621413501</v>
      </c>
      <c r="P574" s="179"/>
      <c r="Q574" s="162">
        <v>1000</v>
      </c>
      <c r="R574" s="163">
        <v>968</v>
      </c>
      <c r="S574" s="188" t="s">
        <v>0</v>
      </c>
    </row>
    <row r="575" spans="12:19" x14ac:dyDescent="0.25">
      <c r="L575" s="94">
        <v>46239</v>
      </c>
      <c r="M575" s="86">
        <v>1</v>
      </c>
      <c r="N575" s="161">
        <v>9</v>
      </c>
      <c r="O575" s="161">
        <v>2621413501</v>
      </c>
      <c r="P575" s="179"/>
      <c r="Q575" s="162">
        <v>1000</v>
      </c>
      <c r="R575" s="163">
        <v>1054</v>
      </c>
      <c r="S575" s="188" t="s">
        <v>0</v>
      </c>
    </row>
    <row r="576" spans="12:19" x14ac:dyDescent="0.25">
      <c r="L576" s="94">
        <v>46239</v>
      </c>
      <c r="M576" s="86">
        <v>1</v>
      </c>
      <c r="N576" s="161">
        <v>10</v>
      </c>
      <c r="O576" s="161">
        <v>2621413501</v>
      </c>
      <c r="P576" s="179"/>
      <c r="Q576" s="162">
        <v>1000</v>
      </c>
      <c r="R576" s="163">
        <v>1008</v>
      </c>
      <c r="S576" s="188" t="s">
        <v>0</v>
      </c>
    </row>
    <row r="577" spans="12:19" x14ac:dyDescent="0.25">
      <c r="L577" s="94">
        <v>46239</v>
      </c>
      <c r="M577" s="86">
        <v>1</v>
      </c>
      <c r="N577" s="161">
        <v>11</v>
      </c>
      <c r="O577" s="161">
        <v>2621413501</v>
      </c>
      <c r="P577" s="179"/>
      <c r="Q577" s="162">
        <v>1000</v>
      </c>
      <c r="R577" s="163">
        <v>1006</v>
      </c>
      <c r="S577" s="188" t="s">
        <v>0</v>
      </c>
    </row>
    <row r="578" spans="12:19" x14ac:dyDescent="0.25">
      <c r="L578" s="94">
        <v>46239</v>
      </c>
      <c r="M578" s="86">
        <v>1</v>
      </c>
      <c r="N578" s="161">
        <v>12</v>
      </c>
      <c r="O578" s="161">
        <v>2621413501</v>
      </c>
      <c r="P578" s="179"/>
      <c r="Q578" s="162">
        <v>1000</v>
      </c>
      <c r="R578" s="163">
        <v>969</v>
      </c>
      <c r="S578" s="188" t="s">
        <v>0</v>
      </c>
    </row>
    <row r="579" spans="12:19" x14ac:dyDescent="0.25">
      <c r="L579" s="94">
        <v>46239</v>
      </c>
      <c r="M579" s="86">
        <v>1</v>
      </c>
      <c r="N579" s="161">
        <v>13</v>
      </c>
      <c r="O579" s="161">
        <v>2621413501</v>
      </c>
      <c r="P579" s="179"/>
      <c r="Q579" s="162">
        <v>1000</v>
      </c>
      <c r="R579" s="163">
        <v>972</v>
      </c>
      <c r="S579" s="188" t="s">
        <v>0</v>
      </c>
    </row>
    <row r="580" spans="12:19" x14ac:dyDescent="0.25">
      <c r="L580" s="94">
        <v>46239</v>
      </c>
      <c r="M580" s="86">
        <v>1</v>
      </c>
      <c r="N580" s="161">
        <v>14</v>
      </c>
      <c r="O580" s="161">
        <v>2621413501</v>
      </c>
      <c r="P580" s="179"/>
      <c r="Q580" s="162">
        <v>1000</v>
      </c>
      <c r="R580" s="163">
        <v>979</v>
      </c>
      <c r="S580" s="188" t="s">
        <v>0</v>
      </c>
    </row>
    <row r="581" spans="12:19" x14ac:dyDescent="0.25">
      <c r="L581" s="94">
        <v>46239</v>
      </c>
      <c r="M581" s="86">
        <v>1</v>
      </c>
      <c r="N581" s="161">
        <v>15</v>
      </c>
      <c r="O581" s="161">
        <v>2621413501</v>
      </c>
      <c r="P581" s="179"/>
      <c r="Q581" s="162">
        <v>1000</v>
      </c>
      <c r="R581" s="163">
        <v>1046</v>
      </c>
      <c r="S581" s="164" t="s">
        <v>0</v>
      </c>
    </row>
    <row r="582" spans="12:19" x14ac:dyDescent="0.25">
      <c r="L582" s="94">
        <v>46240</v>
      </c>
      <c r="M582" s="86">
        <v>1</v>
      </c>
      <c r="N582" s="161">
        <v>16</v>
      </c>
      <c r="O582" s="161">
        <v>2621413501</v>
      </c>
      <c r="P582" s="179"/>
      <c r="Q582" s="162">
        <v>1000</v>
      </c>
      <c r="R582" s="163">
        <v>946</v>
      </c>
      <c r="S582" s="164" t="s">
        <v>0</v>
      </c>
    </row>
    <row r="583" spans="12:19" x14ac:dyDescent="0.25">
      <c r="L583" s="94">
        <v>46240</v>
      </c>
      <c r="M583" s="86">
        <v>1</v>
      </c>
      <c r="N583" s="161">
        <v>17</v>
      </c>
      <c r="O583" s="161">
        <v>2621413501</v>
      </c>
      <c r="P583" s="179"/>
      <c r="Q583" s="162">
        <v>1000</v>
      </c>
      <c r="R583" s="163">
        <v>936</v>
      </c>
      <c r="S583" s="164" t="s">
        <v>0</v>
      </c>
    </row>
    <row r="584" spans="12:19" x14ac:dyDescent="0.25">
      <c r="L584" s="94">
        <v>46241</v>
      </c>
      <c r="M584" s="86">
        <v>1</v>
      </c>
      <c r="N584" s="161">
        <v>18</v>
      </c>
      <c r="O584" s="161">
        <v>2621413501</v>
      </c>
      <c r="P584" s="179"/>
      <c r="Q584" s="162">
        <v>1000</v>
      </c>
      <c r="R584" s="163">
        <v>974</v>
      </c>
      <c r="S584" s="164" t="s">
        <v>0</v>
      </c>
    </row>
    <row r="585" spans="12:19" x14ac:dyDescent="0.25">
      <c r="L585" s="94">
        <v>46241</v>
      </c>
      <c r="M585" s="86">
        <v>1</v>
      </c>
      <c r="N585" s="161">
        <v>19</v>
      </c>
      <c r="O585" s="161">
        <v>2621413501</v>
      </c>
      <c r="P585" s="179"/>
      <c r="Q585" s="162">
        <v>1000</v>
      </c>
      <c r="R585" s="163">
        <v>963</v>
      </c>
      <c r="S585" s="164" t="s">
        <v>0</v>
      </c>
    </row>
    <row r="586" spans="12:19" ht="15.75" thickBot="1" x14ac:dyDescent="0.3">
      <c r="L586" s="95">
        <v>46241</v>
      </c>
      <c r="M586" s="96">
        <v>1</v>
      </c>
      <c r="N586" s="169">
        <v>20</v>
      </c>
      <c r="O586" s="169">
        <v>2621413501</v>
      </c>
      <c r="P586" s="181"/>
      <c r="Q586" s="170">
        <v>1000</v>
      </c>
      <c r="R586" s="171">
        <v>1036</v>
      </c>
      <c r="S586" s="172" t="s">
        <v>0</v>
      </c>
    </row>
    <row r="587" spans="12:19" ht="15.75" thickTop="1" x14ac:dyDescent="0.25">
      <c r="L587" s="98">
        <v>46241</v>
      </c>
      <c r="M587" s="97">
        <v>1</v>
      </c>
      <c r="N587" s="186">
        <v>1</v>
      </c>
      <c r="O587" s="97">
        <v>2621913501</v>
      </c>
      <c r="P587" s="173"/>
      <c r="Q587" s="119">
        <v>1000</v>
      </c>
      <c r="R587" s="120">
        <v>1069</v>
      </c>
      <c r="S587" s="76" t="s">
        <v>1</v>
      </c>
    </row>
    <row r="588" spans="12:19" x14ac:dyDescent="0.25">
      <c r="L588" s="94">
        <v>46243</v>
      </c>
      <c r="M588" s="86">
        <v>1</v>
      </c>
      <c r="N588" s="158">
        <v>2</v>
      </c>
      <c r="O588" s="86">
        <v>2621913501</v>
      </c>
      <c r="P588" s="174"/>
      <c r="Q588" s="121">
        <v>1000</v>
      </c>
      <c r="R588" s="122">
        <v>972</v>
      </c>
      <c r="S588" s="76" t="s">
        <v>1</v>
      </c>
    </row>
    <row r="589" spans="12:19" x14ac:dyDescent="0.25">
      <c r="L589" s="94">
        <v>46243</v>
      </c>
      <c r="M589" s="86">
        <v>1</v>
      </c>
      <c r="N589" s="158">
        <v>3</v>
      </c>
      <c r="O589" s="86">
        <v>2621913501</v>
      </c>
      <c r="P589" s="174"/>
      <c r="Q589" s="121">
        <v>1000</v>
      </c>
      <c r="R589" s="122">
        <v>972</v>
      </c>
      <c r="S589" s="76" t="s">
        <v>1</v>
      </c>
    </row>
    <row r="590" spans="12:19" x14ac:dyDescent="0.25">
      <c r="L590" s="94">
        <v>46254</v>
      </c>
      <c r="M590" s="86">
        <v>1</v>
      </c>
      <c r="N590" s="158">
        <v>4</v>
      </c>
      <c r="O590" s="86">
        <v>2621913501</v>
      </c>
      <c r="P590" s="174"/>
      <c r="Q590" s="121">
        <v>1000</v>
      </c>
      <c r="R590" s="122">
        <v>997</v>
      </c>
      <c r="S590" s="76" t="s">
        <v>1</v>
      </c>
    </row>
    <row r="591" spans="12:19" x14ac:dyDescent="0.25">
      <c r="L591" s="94">
        <v>46254</v>
      </c>
      <c r="M591" s="86">
        <v>1</v>
      </c>
      <c r="N591" s="158">
        <v>5</v>
      </c>
      <c r="O591" s="86">
        <v>2621913501</v>
      </c>
      <c r="P591" s="174"/>
      <c r="Q591" s="121">
        <v>1000</v>
      </c>
      <c r="R591" s="122">
        <v>981</v>
      </c>
      <c r="S591" s="76" t="s">
        <v>1</v>
      </c>
    </row>
    <row r="592" spans="12:19" x14ac:dyDescent="0.25">
      <c r="L592" s="94">
        <v>46255</v>
      </c>
      <c r="M592" s="86">
        <v>1</v>
      </c>
      <c r="N592" s="158">
        <v>6</v>
      </c>
      <c r="O592" s="86">
        <v>2621913501</v>
      </c>
      <c r="P592" s="174"/>
      <c r="Q592" s="121">
        <v>1000</v>
      </c>
      <c r="R592" s="122">
        <v>967</v>
      </c>
      <c r="S592" s="76" t="s">
        <v>1</v>
      </c>
    </row>
    <row r="593" spans="12:19" x14ac:dyDescent="0.25">
      <c r="L593" s="94">
        <v>46255</v>
      </c>
      <c r="M593" s="86">
        <v>1</v>
      </c>
      <c r="N593" s="158">
        <v>7</v>
      </c>
      <c r="O593" s="86">
        <v>2621913501</v>
      </c>
      <c r="P593" s="174"/>
      <c r="Q593" s="121">
        <v>1000</v>
      </c>
      <c r="R593" s="122">
        <v>965</v>
      </c>
      <c r="S593" s="76" t="s">
        <v>1</v>
      </c>
    </row>
    <row r="594" spans="12:19" x14ac:dyDescent="0.25">
      <c r="L594" s="94">
        <v>46255</v>
      </c>
      <c r="M594" s="86">
        <v>1</v>
      </c>
      <c r="N594" s="158">
        <v>8</v>
      </c>
      <c r="O594" s="86">
        <v>2621913501</v>
      </c>
      <c r="P594" s="174"/>
      <c r="Q594" s="121">
        <v>1000</v>
      </c>
      <c r="R594" s="122">
        <v>974</v>
      </c>
      <c r="S594" s="76" t="s">
        <v>1</v>
      </c>
    </row>
    <row r="595" spans="12:19" x14ac:dyDescent="0.25">
      <c r="L595" s="94">
        <v>46255</v>
      </c>
      <c r="M595" s="86">
        <v>1</v>
      </c>
      <c r="N595" s="158">
        <v>9</v>
      </c>
      <c r="O595" s="86">
        <v>2621913501</v>
      </c>
      <c r="P595" s="174"/>
      <c r="Q595" s="121">
        <v>1000</v>
      </c>
      <c r="R595" s="122">
        <v>982</v>
      </c>
      <c r="S595" s="76" t="s">
        <v>1</v>
      </c>
    </row>
    <row r="596" spans="12:19" x14ac:dyDescent="0.25">
      <c r="L596" s="94">
        <v>46259</v>
      </c>
      <c r="M596" s="86">
        <v>1</v>
      </c>
      <c r="N596" s="158">
        <v>10</v>
      </c>
      <c r="O596" s="86">
        <v>2621913501</v>
      </c>
      <c r="P596" s="174"/>
      <c r="Q596" s="121">
        <v>1000</v>
      </c>
      <c r="R596" s="122">
        <v>970</v>
      </c>
      <c r="S596" s="76" t="s">
        <v>1</v>
      </c>
    </row>
    <row r="597" spans="12:19" x14ac:dyDescent="0.25">
      <c r="L597" s="94">
        <v>46259</v>
      </c>
      <c r="M597" s="86">
        <v>1</v>
      </c>
      <c r="N597" s="158">
        <v>11</v>
      </c>
      <c r="O597" s="86">
        <v>2621913501</v>
      </c>
      <c r="P597" s="174"/>
      <c r="Q597" s="121">
        <v>1000</v>
      </c>
      <c r="R597" s="122">
        <v>987</v>
      </c>
      <c r="S597" s="76" t="s">
        <v>1</v>
      </c>
    </row>
    <row r="598" spans="12:19" x14ac:dyDescent="0.25">
      <c r="L598" s="94">
        <v>46259</v>
      </c>
      <c r="M598" s="86">
        <v>1</v>
      </c>
      <c r="N598" s="158">
        <v>12</v>
      </c>
      <c r="O598" s="86">
        <v>2621913501</v>
      </c>
      <c r="P598" s="174"/>
      <c r="Q598" s="121">
        <v>1000</v>
      </c>
      <c r="R598" s="122">
        <v>991</v>
      </c>
      <c r="S598" s="76" t="s">
        <v>1</v>
      </c>
    </row>
    <row r="599" spans="12:19" x14ac:dyDescent="0.25">
      <c r="L599" s="94">
        <v>46259</v>
      </c>
      <c r="M599" s="86">
        <v>1</v>
      </c>
      <c r="N599" s="158">
        <v>13</v>
      </c>
      <c r="O599" s="86">
        <v>2621913501</v>
      </c>
      <c r="P599" s="174"/>
      <c r="Q599" s="121">
        <v>1000</v>
      </c>
      <c r="R599" s="122">
        <v>964</v>
      </c>
      <c r="S599" s="76" t="s">
        <v>1</v>
      </c>
    </row>
    <row r="600" spans="12:19" x14ac:dyDescent="0.25">
      <c r="L600" s="94">
        <v>46259</v>
      </c>
      <c r="M600" s="86">
        <v>1</v>
      </c>
      <c r="N600" s="158">
        <v>14</v>
      </c>
      <c r="O600" s="86">
        <v>2621913501</v>
      </c>
      <c r="P600" s="174"/>
      <c r="Q600" s="121">
        <v>1000</v>
      </c>
      <c r="R600" s="122">
        <v>980</v>
      </c>
      <c r="S600" s="76" t="s">
        <v>1</v>
      </c>
    </row>
    <row r="601" spans="12:19" x14ac:dyDescent="0.25">
      <c r="L601" s="94"/>
      <c r="M601" s="86"/>
      <c r="N601" s="158"/>
      <c r="O601" s="86"/>
      <c r="P601" s="174"/>
      <c r="Q601" s="121"/>
      <c r="R601" s="122"/>
      <c r="S601" s="76"/>
    </row>
    <row r="602" spans="12:19" x14ac:dyDescent="0.25">
      <c r="L602" s="94"/>
      <c r="M602" s="86"/>
      <c r="N602" s="158"/>
      <c r="O602" s="86"/>
      <c r="P602" s="174"/>
      <c r="Q602" s="121"/>
      <c r="R602" s="122"/>
      <c r="S602" s="76"/>
    </row>
    <row r="603" spans="12:19" x14ac:dyDescent="0.25">
      <c r="L603" s="94"/>
      <c r="M603" s="86"/>
      <c r="N603" s="158"/>
      <c r="O603" s="86"/>
      <c r="P603" s="174"/>
      <c r="Q603" s="121"/>
      <c r="R603" s="122"/>
      <c r="S603" s="76"/>
    </row>
    <row r="604" spans="12:19" x14ac:dyDescent="0.25">
      <c r="L604" s="94"/>
      <c r="M604" s="86"/>
      <c r="N604" s="158"/>
      <c r="O604" s="86"/>
      <c r="P604" s="174"/>
      <c r="Q604" s="121"/>
      <c r="R604" s="122"/>
      <c r="S604" s="76"/>
    </row>
    <row r="605" spans="12:19" x14ac:dyDescent="0.25">
      <c r="L605" s="94"/>
      <c r="M605" s="86"/>
      <c r="N605" s="158"/>
      <c r="O605" s="86"/>
      <c r="P605" s="174"/>
      <c r="Q605" s="121"/>
      <c r="R605" s="122"/>
      <c r="S605" s="76"/>
    </row>
    <row r="606" spans="12:19" x14ac:dyDescent="0.25">
      <c r="L606" s="94"/>
      <c r="M606" s="86"/>
      <c r="N606" s="158"/>
      <c r="O606" s="86"/>
      <c r="P606" s="174"/>
      <c r="Q606" s="121"/>
      <c r="R606" s="122"/>
      <c r="S606" s="76"/>
    </row>
    <row r="607" spans="12:19" x14ac:dyDescent="0.25">
      <c r="L607" s="94"/>
      <c r="M607" s="86"/>
      <c r="N607" s="158"/>
      <c r="O607" s="86"/>
      <c r="P607" s="174"/>
      <c r="Q607" s="121"/>
      <c r="R607" s="122"/>
      <c r="S607" s="76"/>
    </row>
    <row r="608" spans="12:19" x14ac:dyDescent="0.25">
      <c r="L608" s="94"/>
      <c r="M608" s="86"/>
      <c r="N608" s="158"/>
      <c r="O608" s="86"/>
      <c r="P608" s="174"/>
      <c r="Q608" s="121"/>
      <c r="R608" s="122"/>
      <c r="S608" s="76"/>
    </row>
    <row r="609" spans="12:19" x14ac:dyDescent="0.25">
      <c r="L609" s="94"/>
      <c r="M609" s="86"/>
      <c r="N609" s="158"/>
      <c r="O609" s="86"/>
      <c r="P609" s="174"/>
      <c r="Q609" s="121"/>
      <c r="R609" s="122"/>
      <c r="S609" s="76"/>
    </row>
    <row r="610" spans="12:19" x14ac:dyDescent="0.25">
      <c r="L610" s="94"/>
      <c r="M610" s="86"/>
      <c r="N610" s="158"/>
      <c r="O610" s="86"/>
      <c r="P610" s="174"/>
      <c r="Q610" s="121"/>
      <c r="R610" s="122"/>
      <c r="S610" s="76"/>
    </row>
    <row r="611" spans="12:19" x14ac:dyDescent="0.25">
      <c r="L611" s="94"/>
      <c r="M611" s="86"/>
      <c r="N611" s="158"/>
      <c r="O611" s="86"/>
      <c r="P611" s="174"/>
      <c r="Q611" s="121"/>
      <c r="R611" s="122"/>
      <c r="S611" s="76"/>
    </row>
    <row r="612" spans="12:19" x14ac:dyDescent="0.25">
      <c r="L612" s="94"/>
      <c r="M612" s="86"/>
      <c r="N612" s="158"/>
      <c r="O612" s="86"/>
      <c r="P612" s="174"/>
      <c r="Q612" s="121"/>
      <c r="R612" s="122"/>
      <c r="S612" s="76"/>
    </row>
    <row r="613" spans="12:19" x14ac:dyDescent="0.25">
      <c r="L613" s="94"/>
      <c r="M613" s="86"/>
      <c r="N613" s="158"/>
      <c r="O613" s="86"/>
      <c r="P613" s="174"/>
      <c r="Q613" s="121"/>
      <c r="R613" s="122"/>
      <c r="S613" s="76"/>
    </row>
    <row r="614" spans="12:19" x14ac:dyDescent="0.25">
      <c r="L614" s="94"/>
      <c r="M614" s="86"/>
      <c r="N614" s="158"/>
      <c r="O614" s="86"/>
      <c r="P614" s="174"/>
      <c r="Q614" s="121"/>
      <c r="R614" s="122"/>
      <c r="S614" s="76"/>
    </row>
    <row r="615" spans="12:19" x14ac:dyDescent="0.25">
      <c r="L615" s="94"/>
      <c r="M615" s="86"/>
      <c r="N615" s="158"/>
      <c r="O615" s="86"/>
      <c r="P615" s="174"/>
      <c r="Q615" s="121"/>
      <c r="R615" s="122"/>
      <c r="S615" s="76"/>
    </row>
    <row r="616" spans="12:19" x14ac:dyDescent="0.25">
      <c r="L616" s="94"/>
      <c r="M616" s="86"/>
      <c r="N616" s="158"/>
      <c r="O616" s="86"/>
      <c r="P616" s="174"/>
      <c r="Q616" s="121"/>
      <c r="R616" s="122"/>
      <c r="S616" s="76"/>
    </row>
    <row r="617" spans="12:19" x14ac:dyDescent="0.25">
      <c r="L617" s="94"/>
      <c r="M617" s="86"/>
      <c r="N617" s="158"/>
      <c r="O617" s="86"/>
      <c r="P617" s="174"/>
      <c r="Q617" s="121"/>
      <c r="R617" s="122"/>
      <c r="S617" s="76"/>
    </row>
    <row r="618" spans="12:19" x14ac:dyDescent="0.25">
      <c r="L618" s="94"/>
      <c r="M618" s="86"/>
      <c r="N618" s="158"/>
      <c r="O618" s="86"/>
      <c r="P618" s="174"/>
      <c r="Q618" s="121"/>
      <c r="R618" s="122"/>
      <c r="S618" s="76"/>
    </row>
    <row r="619" spans="12:19" x14ac:dyDescent="0.25">
      <c r="L619" s="94"/>
      <c r="M619" s="86"/>
      <c r="N619" s="158"/>
      <c r="O619" s="86"/>
      <c r="P619" s="174"/>
      <c r="Q619" s="121"/>
      <c r="R619" s="122"/>
      <c r="S619" s="76"/>
    </row>
    <row r="620" spans="12:19" x14ac:dyDescent="0.25">
      <c r="L620" s="94"/>
      <c r="M620" s="86"/>
      <c r="N620" s="158"/>
      <c r="O620" s="86"/>
      <c r="P620" s="174"/>
      <c r="Q620" s="121"/>
      <c r="R620" s="122"/>
      <c r="S620" s="76"/>
    </row>
    <row r="621" spans="12:19" x14ac:dyDescent="0.25">
      <c r="L621" s="94"/>
      <c r="M621" s="86"/>
      <c r="N621" s="158"/>
      <c r="O621" s="86"/>
      <c r="P621" s="174"/>
      <c r="Q621" s="121"/>
      <c r="R621" s="122"/>
      <c r="S621" s="76"/>
    </row>
    <row r="622" spans="12:19" x14ac:dyDescent="0.25">
      <c r="L622" s="94"/>
      <c r="M622" s="86"/>
      <c r="N622" s="158"/>
      <c r="O622" s="86"/>
      <c r="P622" s="174"/>
      <c r="Q622" s="121"/>
      <c r="R622" s="122"/>
      <c r="S622" s="76"/>
    </row>
    <row r="623" spans="12:19" x14ac:dyDescent="0.25">
      <c r="L623" s="94"/>
      <c r="M623" s="86"/>
      <c r="N623" s="158"/>
      <c r="O623" s="86"/>
      <c r="P623" s="174"/>
      <c r="Q623" s="121"/>
      <c r="R623" s="122"/>
      <c r="S623" s="76"/>
    </row>
    <row r="624" spans="12:19" x14ac:dyDescent="0.25">
      <c r="L624" s="94"/>
      <c r="M624" s="86"/>
      <c r="N624" s="158"/>
      <c r="O624" s="86"/>
      <c r="P624" s="174"/>
      <c r="Q624" s="121"/>
      <c r="R624" s="122"/>
      <c r="S624" s="76"/>
    </row>
    <row r="625" spans="12:19" x14ac:dyDescent="0.25">
      <c r="L625" s="94"/>
      <c r="M625" s="86"/>
      <c r="N625" s="158"/>
      <c r="O625" s="86"/>
      <c r="P625" s="174"/>
      <c r="Q625" s="121"/>
      <c r="R625" s="122"/>
      <c r="S625" s="76"/>
    </row>
    <row r="626" spans="12:19" x14ac:dyDescent="0.25">
      <c r="L626" s="94"/>
      <c r="M626" s="86"/>
      <c r="N626" s="158"/>
      <c r="O626" s="86"/>
      <c r="P626" s="174"/>
      <c r="Q626" s="121"/>
      <c r="R626" s="122"/>
      <c r="S626" s="76"/>
    </row>
    <row r="627" spans="12:19" x14ac:dyDescent="0.25">
      <c r="L627" s="94"/>
      <c r="M627" s="86"/>
      <c r="N627" s="158"/>
      <c r="O627" s="86"/>
      <c r="P627" s="174"/>
      <c r="Q627" s="121"/>
      <c r="R627" s="122"/>
      <c r="S627" s="76"/>
    </row>
    <row r="628" spans="12:19" x14ac:dyDescent="0.25">
      <c r="L628" s="94"/>
      <c r="M628" s="86"/>
      <c r="N628" s="158"/>
      <c r="O628" s="86"/>
      <c r="P628" s="174"/>
      <c r="Q628" s="121"/>
      <c r="R628" s="122"/>
      <c r="S628" s="76"/>
    </row>
    <row r="629" spans="12:19" x14ac:dyDescent="0.25">
      <c r="L629" s="94"/>
      <c r="M629" s="86"/>
      <c r="N629" s="158"/>
      <c r="O629" s="86"/>
      <c r="P629" s="174"/>
      <c r="Q629" s="121"/>
      <c r="R629" s="122"/>
      <c r="S629" s="76"/>
    </row>
    <row r="630" spans="12:19" x14ac:dyDescent="0.25">
      <c r="L630" s="94"/>
      <c r="M630" s="86"/>
      <c r="N630" s="158"/>
      <c r="O630" s="86"/>
      <c r="P630" s="174"/>
      <c r="Q630" s="121"/>
      <c r="R630" s="122"/>
      <c r="S630" s="76"/>
    </row>
    <row r="631" spans="12:19" x14ac:dyDescent="0.25">
      <c r="L631" s="94"/>
      <c r="M631" s="86"/>
      <c r="N631" s="158"/>
      <c r="O631" s="86"/>
      <c r="P631" s="174"/>
      <c r="Q631" s="121"/>
      <c r="R631" s="122"/>
      <c r="S631" s="76"/>
    </row>
    <row r="632" spans="12:19" x14ac:dyDescent="0.25">
      <c r="L632" s="94"/>
      <c r="M632" s="86"/>
      <c r="N632" s="158"/>
      <c r="O632" s="86"/>
      <c r="P632" s="174"/>
      <c r="Q632" s="121"/>
      <c r="R632" s="122"/>
      <c r="S632" s="76"/>
    </row>
    <row r="633" spans="12:19" x14ac:dyDescent="0.25">
      <c r="L633" s="94"/>
      <c r="M633" s="86"/>
      <c r="N633" s="158"/>
      <c r="O633" s="86"/>
      <c r="P633" s="174"/>
      <c r="Q633" s="121"/>
      <c r="R633" s="122"/>
      <c r="S633" s="76"/>
    </row>
    <row r="634" spans="12:19" x14ac:dyDescent="0.25">
      <c r="L634" s="94"/>
      <c r="M634" s="86"/>
      <c r="N634" s="158"/>
      <c r="O634" s="86"/>
      <c r="P634" s="174"/>
      <c r="Q634" s="121"/>
      <c r="R634" s="122"/>
      <c r="S634" s="76"/>
    </row>
    <row r="635" spans="12:19" x14ac:dyDescent="0.25">
      <c r="L635" s="94"/>
      <c r="M635" s="86"/>
      <c r="N635" s="158"/>
      <c r="O635" s="86"/>
      <c r="P635" s="174"/>
      <c r="Q635" s="121"/>
      <c r="R635" s="122"/>
      <c r="S635" s="76"/>
    </row>
    <row r="636" spans="12:19" x14ac:dyDescent="0.25">
      <c r="L636" s="94"/>
      <c r="M636" s="86"/>
      <c r="N636" s="158"/>
      <c r="O636" s="86"/>
      <c r="P636" s="174"/>
      <c r="Q636" s="121"/>
      <c r="R636" s="122"/>
      <c r="S636" s="76"/>
    </row>
    <row r="637" spans="12:19" x14ac:dyDescent="0.25">
      <c r="L637" s="94"/>
      <c r="M637" s="86"/>
      <c r="N637" s="158"/>
      <c r="O637" s="86"/>
      <c r="P637" s="174"/>
      <c r="Q637" s="121"/>
      <c r="R637" s="122"/>
      <c r="S637" s="76"/>
    </row>
    <row r="638" spans="12:19" x14ac:dyDescent="0.25">
      <c r="L638" s="94"/>
      <c r="M638" s="86"/>
      <c r="N638" s="158"/>
      <c r="O638" s="86"/>
      <c r="P638" s="174"/>
      <c r="Q638" s="121"/>
      <c r="R638" s="122"/>
      <c r="S638" s="76"/>
    </row>
    <row r="639" spans="12:19" x14ac:dyDescent="0.25">
      <c r="L639" s="94"/>
      <c r="M639" s="86"/>
      <c r="N639" s="158"/>
      <c r="O639" s="86"/>
      <c r="P639" s="174"/>
      <c r="Q639" s="121"/>
      <c r="R639" s="122"/>
      <c r="S639" s="76"/>
    </row>
    <row r="640" spans="12:19" x14ac:dyDescent="0.25">
      <c r="L640" s="94"/>
      <c r="M640" s="86"/>
      <c r="N640" s="158"/>
      <c r="O640" s="86"/>
      <c r="P640" s="174"/>
      <c r="Q640" s="121"/>
      <c r="R640" s="122"/>
      <c r="S640" s="76"/>
    </row>
    <row r="641" spans="12:19" x14ac:dyDescent="0.25">
      <c r="L641" s="94"/>
      <c r="M641" s="86"/>
      <c r="N641" s="158"/>
      <c r="O641" s="86"/>
      <c r="P641" s="174"/>
      <c r="Q641" s="121"/>
      <c r="R641" s="122"/>
      <c r="S641" s="76"/>
    </row>
    <row r="642" spans="12:19" x14ac:dyDescent="0.25">
      <c r="L642" s="94"/>
      <c r="M642" s="86"/>
      <c r="N642" s="158"/>
      <c r="O642" s="86"/>
      <c r="P642" s="174"/>
      <c r="Q642" s="121"/>
      <c r="R642" s="122"/>
      <c r="S642" s="76"/>
    </row>
    <row r="643" spans="12:19" x14ac:dyDescent="0.25">
      <c r="L643" s="94"/>
      <c r="M643" s="86"/>
      <c r="N643" s="158"/>
      <c r="O643" s="86"/>
      <c r="P643" s="174"/>
      <c r="Q643" s="121"/>
      <c r="R643" s="122"/>
      <c r="S643" s="76"/>
    </row>
    <row r="644" spans="12:19" x14ac:dyDescent="0.25">
      <c r="L644" s="94"/>
      <c r="M644" s="86"/>
      <c r="N644" s="158"/>
      <c r="O644" s="86"/>
      <c r="P644" s="174"/>
      <c r="Q644" s="121"/>
      <c r="R644" s="122"/>
      <c r="S644" s="76"/>
    </row>
    <row r="645" spans="12:19" x14ac:dyDescent="0.25">
      <c r="L645" s="94"/>
      <c r="M645" s="86"/>
      <c r="N645" s="158"/>
      <c r="O645" s="86"/>
      <c r="P645" s="174"/>
      <c r="Q645" s="121"/>
      <c r="R645" s="122"/>
      <c r="S645" s="76"/>
    </row>
    <row r="646" spans="12:19" x14ac:dyDescent="0.25">
      <c r="L646" s="94"/>
      <c r="M646" s="86"/>
      <c r="N646" s="158"/>
      <c r="O646" s="86"/>
      <c r="P646" s="174"/>
      <c r="Q646" s="121"/>
      <c r="R646" s="122"/>
      <c r="S646" s="76"/>
    </row>
    <row r="647" spans="12:19" x14ac:dyDescent="0.25">
      <c r="L647" s="94"/>
      <c r="M647" s="86"/>
      <c r="N647" s="158"/>
      <c r="O647" s="86"/>
      <c r="P647" s="174"/>
      <c r="Q647" s="121"/>
      <c r="R647" s="122"/>
      <c r="S647" s="76"/>
    </row>
    <row r="648" spans="12:19" x14ac:dyDescent="0.25">
      <c r="L648" s="94"/>
      <c r="M648" s="86"/>
      <c r="N648" s="158"/>
      <c r="O648" s="86"/>
      <c r="P648" s="174"/>
      <c r="Q648" s="121"/>
      <c r="R648" s="122"/>
      <c r="S648" s="76"/>
    </row>
    <row r="649" spans="12:19" x14ac:dyDescent="0.25">
      <c r="L649" s="94"/>
      <c r="M649" s="86"/>
      <c r="N649" s="158"/>
      <c r="O649" s="86"/>
      <c r="P649" s="174"/>
      <c r="Q649" s="121"/>
      <c r="R649" s="122"/>
      <c r="S649" s="76"/>
    </row>
    <row r="650" spans="12:19" x14ac:dyDescent="0.25">
      <c r="L650" s="94"/>
      <c r="M650" s="86"/>
      <c r="N650" s="158"/>
      <c r="O650" s="86"/>
      <c r="P650" s="174"/>
      <c r="Q650" s="121"/>
      <c r="R650" s="122"/>
      <c r="S650" s="76"/>
    </row>
    <row r="651" spans="12:19" x14ac:dyDescent="0.25">
      <c r="L651" s="94"/>
      <c r="M651" s="86"/>
      <c r="N651" s="158"/>
      <c r="O651" s="86"/>
      <c r="P651" s="174"/>
      <c r="Q651" s="121"/>
      <c r="R651" s="122"/>
      <c r="S651" s="76"/>
    </row>
    <row r="652" spans="12:19" x14ac:dyDescent="0.25">
      <c r="L652" s="94"/>
      <c r="M652" s="86"/>
      <c r="N652" s="158"/>
      <c r="O652" s="86"/>
      <c r="P652" s="174"/>
      <c r="Q652" s="121"/>
      <c r="R652" s="122"/>
      <c r="S652" s="76"/>
    </row>
    <row r="653" spans="12:19" x14ac:dyDescent="0.25">
      <c r="L653" s="94"/>
      <c r="M653" s="86"/>
      <c r="N653" s="158"/>
      <c r="O653" s="86"/>
      <c r="P653" s="174"/>
      <c r="Q653" s="121"/>
      <c r="R653" s="122"/>
      <c r="S653" s="76"/>
    </row>
    <row r="654" spans="12:19" x14ac:dyDescent="0.25">
      <c r="L654" s="94"/>
      <c r="M654" s="86"/>
      <c r="N654" s="158"/>
      <c r="O654" s="86"/>
      <c r="P654" s="174"/>
      <c r="Q654" s="121"/>
      <c r="R654" s="122"/>
      <c r="S654" s="76"/>
    </row>
    <row r="655" spans="12:19" x14ac:dyDescent="0.25">
      <c r="L655" s="94"/>
      <c r="M655" s="86"/>
      <c r="N655" s="158"/>
      <c r="O655" s="86"/>
      <c r="P655" s="174"/>
      <c r="Q655" s="121"/>
      <c r="R655" s="122"/>
      <c r="S655" s="76"/>
    </row>
    <row r="656" spans="12:19" x14ac:dyDescent="0.25">
      <c r="L656" s="94"/>
      <c r="M656" s="86"/>
      <c r="N656" s="158"/>
      <c r="O656" s="86"/>
      <c r="P656" s="174"/>
      <c r="Q656" s="121"/>
      <c r="R656" s="122"/>
      <c r="S656" s="76"/>
    </row>
    <row r="657" spans="12:19" x14ac:dyDescent="0.25">
      <c r="L657" s="94"/>
      <c r="M657" s="86"/>
      <c r="N657" s="158"/>
      <c r="O657" s="86"/>
      <c r="P657" s="174"/>
      <c r="Q657" s="121"/>
      <c r="R657" s="122"/>
      <c r="S657" s="76"/>
    </row>
    <row r="658" spans="12:19" x14ac:dyDescent="0.25">
      <c r="L658" s="94"/>
      <c r="M658" s="86"/>
      <c r="N658" s="158"/>
      <c r="O658" s="86"/>
      <c r="P658" s="174"/>
      <c r="Q658" s="121"/>
      <c r="R658" s="122"/>
      <c r="S658" s="76"/>
    </row>
    <row r="659" spans="12:19" x14ac:dyDescent="0.25">
      <c r="L659" s="94"/>
      <c r="M659" s="86"/>
      <c r="N659" s="158"/>
      <c r="O659" s="86"/>
      <c r="P659" s="174"/>
      <c r="Q659" s="121"/>
      <c r="R659" s="122"/>
      <c r="S659" s="76"/>
    </row>
    <row r="660" spans="12:19" x14ac:dyDescent="0.25">
      <c r="L660" s="94"/>
      <c r="M660" s="86"/>
      <c r="N660" s="158"/>
      <c r="O660" s="86"/>
      <c r="P660" s="174"/>
      <c r="Q660" s="121"/>
      <c r="R660" s="122"/>
      <c r="S660" s="76"/>
    </row>
    <row r="661" spans="12:19" x14ac:dyDescent="0.25">
      <c r="L661" s="94"/>
      <c r="M661" s="86"/>
      <c r="N661" s="158"/>
      <c r="O661" s="86"/>
      <c r="P661" s="174"/>
      <c r="Q661" s="121"/>
      <c r="R661" s="122"/>
      <c r="S661" s="76"/>
    </row>
    <row r="662" spans="12:19" x14ac:dyDescent="0.25">
      <c r="L662" s="94"/>
      <c r="M662" s="86"/>
      <c r="N662" s="158"/>
      <c r="O662" s="86"/>
      <c r="P662" s="174"/>
      <c r="Q662" s="121"/>
      <c r="R662" s="122"/>
      <c r="S662" s="76"/>
    </row>
    <row r="663" spans="12:19" x14ac:dyDescent="0.25">
      <c r="L663" s="94"/>
      <c r="M663" s="86"/>
      <c r="N663" s="158"/>
      <c r="O663" s="86"/>
      <c r="P663" s="174"/>
      <c r="Q663" s="121"/>
      <c r="R663" s="122"/>
      <c r="S663" s="76"/>
    </row>
    <row r="664" spans="12:19" x14ac:dyDescent="0.25">
      <c r="L664" s="94"/>
      <c r="M664" s="86"/>
      <c r="N664" s="158"/>
      <c r="O664" s="86"/>
      <c r="P664" s="174"/>
      <c r="Q664" s="121"/>
      <c r="R664" s="122"/>
      <c r="S664" s="76"/>
    </row>
    <row r="665" spans="12:19" x14ac:dyDescent="0.25">
      <c r="L665" s="94"/>
      <c r="M665" s="86"/>
      <c r="N665" s="158"/>
      <c r="O665" s="86"/>
      <c r="P665" s="174"/>
      <c r="Q665" s="121"/>
      <c r="R665" s="122"/>
      <c r="S665" s="76"/>
    </row>
    <row r="666" spans="12:19" x14ac:dyDescent="0.25">
      <c r="L666" s="94"/>
      <c r="M666" s="86"/>
      <c r="N666" s="158"/>
      <c r="O666" s="86"/>
      <c r="P666" s="174"/>
      <c r="Q666" s="121"/>
      <c r="R666" s="122"/>
      <c r="S666" s="76"/>
    </row>
    <row r="667" spans="12:19" x14ac:dyDescent="0.25">
      <c r="L667" s="94"/>
      <c r="M667" s="86"/>
      <c r="N667" s="158"/>
      <c r="O667" s="86"/>
      <c r="P667" s="174"/>
      <c r="Q667" s="121"/>
      <c r="R667" s="122"/>
      <c r="S667" s="76"/>
    </row>
    <row r="668" spans="12:19" x14ac:dyDescent="0.25">
      <c r="L668" s="94"/>
      <c r="M668" s="86"/>
      <c r="N668" s="158"/>
      <c r="O668" s="86"/>
      <c r="P668" s="174"/>
      <c r="Q668" s="121"/>
      <c r="R668" s="122"/>
      <c r="S668" s="76"/>
    </row>
    <row r="669" spans="12:19" x14ac:dyDescent="0.25">
      <c r="L669" s="94"/>
      <c r="M669" s="86"/>
      <c r="N669" s="158"/>
      <c r="O669" s="86"/>
      <c r="P669" s="174"/>
      <c r="Q669" s="121"/>
      <c r="R669" s="122"/>
      <c r="S669" s="76"/>
    </row>
    <row r="670" spans="12:19" x14ac:dyDescent="0.25">
      <c r="L670" s="94"/>
      <c r="M670" s="86"/>
      <c r="N670" s="158"/>
      <c r="O670" s="86"/>
      <c r="P670" s="174"/>
      <c r="Q670" s="121"/>
      <c r="R670" s="122"/>
      <c r="S670" s="76"/>
    </row>
    <row r="671" spans="12:19" x14ac:dyDescent="0.25">
      <c r="L671" s="94"/>
      <c r="M671" s="86"/>
      <c r="N671" s="158"/>
      <c r="O671" s="86"/>
      <c r="P671" s="174"/>
      <c r="Q671" s="121"/>
      <c r="R671" s="122"/>
      <c r="S671" s="76"/>
    </row>
    <row r="672" spans="12:19" x14ac:dyDescent="0.25">
      <c r="L672" s="94"/>
      <c r="M672" s="86"/>
      <c r="N672" s="158"/>
      <c r="O672" s="86"/>
      <c r="P672" s="174"/>
      <c r="Q672" s="121"/>
      <c r="R672" s="122"/>
      <c r="S672" s="76"/>
    </row>
    <row r="673" spans="12:19" x14ac:dyDescent="0.25">
      <c r="L673" s="94"/>
      <c r="M673" s="86"/>
      <c r="N673" s="158"/>
      <c r="O673" s="86"/>
      <c r="P673" s="174"/>
      <c r="Q673" s="121"/>
      <c r="R673" s="122"/>
      <c r="S673" s="76"/>
    </row>
    <row r="674" spans="12:19" x14ac:dyDescent="0.25">
      <c r="L674" s="94"/>
      <c r="M674" s="86"/>
      <c r="N674" s="158"/>
      <c r="O674" s="86"/>
      <c r="P674" s="174"/>
      <c r="Q674" s="121"/>
      <c r="R674" s="122"/>
      <c r="S674" s="76"/>
    </row>
    <row r="675" spans="12:19" x14ac:dyDescent="0.25">
      <c r="L675" s="94"/>
      <c r="M675" s="86"/>
      <c r="N675" s="158"/>
      <c r="O675" s="86"/>
      <c r="P675" s="174"/>
      <c r="Q675" s="121"/>
      <c r="R675" s="122"/>
      <c r="S675" s="76"/>
    </row>
    <row r="676" spans="12:19" x14ac:dyDescent="0.25">
      <c r="L676" s="94"/>
      <c r="M676" s="86"/>
      <c r="N676" s="158"/>
      <c r="O676" s="86"/>
      <c r="P676" s="174"/>
      <c r="Q676" s="121"/>
      <c r="R676" s="122"/>
      <c r="S676" s="76"/>
    </row>
    <row r="677" spans="12:19" x14ac:dyDescent="0.25">
      <c r="L677" s="94"/>
      <c r="M677" s="86"/>
      <c r="N677" s="158"/>
      <c r="O677" s="86"/>
      <c r="P677" s="174"/>
      <c r="Q677" s="121"/>
      <c r="R677" s="122"/>
      <c r="S677" s="76"/>
    </row>
    <row r="678" spans="12:19" x14ac:dyDescent="0.25">
      <c r="L678" s="94"/>
      <c r="M678" s="86"/>
      <c r="N678" s="158"/>
      <c r="O678" s="86"/>
      <c r="P678" s="174"/>
      <c r="Q678" s="121"/>
      <c r="R678" s="122"/>
      <c r="S678" s="76"/>
    </row>
    <row r="679" spans="12:19" x14ac:dyDescent="0.25">
      <c r="L679" s="94"/>
      <c r="M679" s="86"/>
      <c r="N679" s="158"/>
      <c r="O679" s="86"/>
      <c r="P679" s="174"/>
      <c r="Q679" s="121"/>
      <c r="R679" s="122"/>
      <c r="S679" s="76"/>
    </row>
    <row r="680" spans="12:19" x14ac:dyDescent="0.25">
      <c r="L680" s="94"/>
      <c r="M680" s="86"/>
      <c r="N680" s="158"/>
      <c r="O680" s="86"/>
      <c r="P680" s="174"/>
      <c r="Q680" s="121"/>
      <c r="R680" s="122"/>
      <c r="S680" s="76"/>
    </row>
    <row r="681" spans="12:19" x14ac:dyDescent="0.25">
      <c r="L681" s="94"/>
      <c r="M681" s="86"/>
      <c r="N681" s="158"/>
      <c r="O681" s="86"/>
      <c r="P681" s="174"/>
      <c r="Q681" s="121"/>
      <c r="R681" s="122"/>
      <c r="S681" s="76"/>
    </row>
    <row r="682" spans="12:19" x14ac:dyDescent="0.25">
      <c r="L682" s="94"/>
      <c r="M682" s="86"/>
      <c r="N682" s="158"/>
      <c r="O682" s="86"/>
      <c r="P682" s="174"/>
      <c r="Q682" s="121"/>
      <c r="R682" s="122"/>
      <c r="S682" s="76"/>
    </row>
    <row r="683" spans="12:19" x14ac:dyDescent="0.25">
      <c r="L683" s="94"/>
      <c r="M683" s="86"/>
      <c r="N683" s="158"/>
      <c r="O683" s="86"/>
      <c r="P683" s="174"/>
      <c r="Q683" s="121"/>
      <c r="R683" s="122"/>
      <c r="S683" s="76"/>
    </row>
    <row r="684" spans="12:19" x14ac:dyDescent="0.25">
      <c r="L684" s="94"/>
      <c r="M684" s="86"/>
      <c r="N684" s="158"/>
      <c r="O684" s="86"/>
      <c r="P684" s="174"/>
      <c r="Q684" s="121"/>
      <c r="R684" s="122"/>
      <c r="S684" s="76"/>
    </row>
    <row r="685" spans="12:19" x14ac:dyDescent="0.25">
      <c r="L685" s="94"/>
      <c r="M685" s="86"/>
      <c r="N685" s="158"/>
      <c r="O685" s="86"/>
      <c r="P685" s="174"/>
      <c r="Q685" s="121"/>
      <c r="R685" s="122"/>
      <c r="S685" s="76"/>
    </row>
    <row r="686" spans="12:19" x14ac:dyDescent="0.25">
      <c r="L686" s="94"/>
      <c r="M686" s="86"/>
      <c r="N686" s="158"/>
      <c r="O686" s="86"/>
      <c r="P686" s="174"/>
      <c r="Q686" s="121"/>
      <c r="R686" s="122"/>
      <c r="S686" s="76"/>
    </row>
    <row r="687" spans="12:19" x14ac:dyDescent="0.25">
      <c r="L687" s="94"/>
      <c r="M687" s="86"/>
      <c r="N687" s="158"/>
      <c r="O687" s="86"/>
      <c r="P687" s="174"/>
      <c r="Q687" s="121"/>
      <c r="R687" s="122"/>
      <c r="S687" s="76"/>
    </row>
    <row r="688" spans="12:19" x14ac:dyDescent="0.25">
      <c r="L688" s="94"/>
      <c r="M688" s="86"/>
      <c r="N688" s="158"/>
      <c r="O688" s="86"/>
      <c r="P688" s="174"/>
      <c r="Q688" s="121"/>
      <c r="R688" s="122"/>
      <c r="S688" s="76"/>
    </row>
    <row r="689" spans="12:19" x14ac:dyDescent="0.25">
      <c r="L689" s="94"/>
      <c r="M689" s="86"/>
      <c r="N689" s="158"/>
      <c r="O689" s="86"/>
      <c r="P689" s="174"/>
      <c r="Q689" s="121"/>
      <c r="R689" s="122"/>
      <c r="S689" s="76"/>
    </row>
    <row r="690" spans="12:19" x14ac:dyDescent="0.25">
      <c r="L690" s="94"/>
      <c r="M690" s="86"/>
      <c r="N690" s="158"/>
      <c r="O690" s="86"/>
      <c r="P690" s="174"/>
      <c r="Q690" s="121"/>
      <c r="R690" s="122"/>
      <c r="S690" s="76"/>
    </row>
    <row r="691" spans="12:19" x14ac:dyDescent="0.25">
      <c r="L691" s="94"/>
      <c r="M691" s="86"/>
      <c r="N691" s="158"/>
      <c r="O691" s="86"/>
      <c r="P691" s="174"/>
      <c r="Q691" s="121"/>
      <c r="R691" s="122"/>
      <c r="S691" s="76"/>
    </row>
    <row r="692" spans="12:19" x14ac:dyDescent="0.25">
      <c r="L692" s="94"/>
      <c r="M692" s="86"/>
      <c r="N692" s="158"/>
      <c r="O692" s="86"/>
      <c r="P692" s="174"/>
      <c r="Q692" s="121"/>
      <c r="R692" s="122"/>
      <c r="S692" s="76"/>
    </row>
    <row r="693" spans="12:19" x14ac:dyDescent="0.25">
      <c r="L693" s="94"/>
      <c r="M693" s="86"/>
      <c r="N693" s="158"/>
      <c r="O693" s="86"/>
      <c r="P693" s="174"/>
      <c r="Q693" s="121"/>
      <c r="R693" s="122"/>
      <c r="S693" s="76"/>
    </row>
    <row r="694" spans="12:19" x14ac:dyDescent="0.25">
      <c r="L694" s="94"/>
      <c r="M694" s="86"/>
      <c r="N694" s="158"/>
      <c r="O694" s="86"/>
      <c r="P694" s="174"/>
      <c r="Q694" s="121"/>
      <c r="R694" s="122"/>
      <c r="S694" s="76"/>
    </row>
    <row r="695" spans="12:19" x14ac:dyDescent="0.25">
      <c r="L695" s="94"/>
      <c r="M695" s="86"/>
      <c r="N695" s="158"/>
      <c r="O695" s="86"/>
      <c r="P695" s="174"/>
      <c r="Q695" s="121"/>
      <c r="R695" s="122"/>
      <c r="S695" s="76"/>
    </row>
    <row r="696" spans="12:19" x14ac:dyDescent="0.25">
      <c r="L696" s="94"/>
      <c r="M696" s="86"/>
      <c r="N696" s="158"/>
      <c r="O696" s="86"/>
      <c r="P696" s="174"/>
      <c r="Q696" s="121"/>
      <c r="R696" s="122"/>
      <c r="S696" s="76"/>
    </row>
    <row r="697" spans="12:19" x14ac:dyDescent="0.25">
      <c r="L697" s="94"/>
      <c r="M697" s="86"/>
      <c r="N697" s="158"/>
      <c r="O697" s="86"/>
      <c r="P697" s="174"/>
      <c r="Q697" s="121"/>
      <c r="R697" s="122"/>
      <c r="S697" s="76"/>
    </row>
    <row r="698" spans="12:19" x14ac:dyDescent="0.25">
      <c r="L698" s="94"/>
      <c r="M698" s="86"/>
      <c r="N698" s="158"/>
      <c r="O698" s="86"/>
      <c r="P698" s="174"/>
      <c r="Q698" s="121"/>
      <c r="R698" s="122"/>
      <c r="S698" s="76"/>
    </row>
    <row r="699" spans="12:19" x14ac:dyDescent="0.25">
      <c r="L699" s="94"/>
      <c r="M699" s="86"/>
      <c r="N699" s="158"/>
      <c r="O699" s="86"/>
      <c r="P699" s="174"/>
      <c r="Q699" s="121"/>
      <c r="R699" s="122"/>
      <c r="S699" s="76"/>
    </row>
    <row r="700" spans="12:19" x14ac:dyDescent="0.25">
      <c r="L700" s="94"/>
      <c r="M700" s="86"/>
      <c r="N700" s="158"/>
      <c r="O700" s="86"/>
      <c r="P700" s="174"/>
      <c r="Q700" s="121"/>
      <c r="R700" s="122"/>
      <c r="S700" s="76"/>
    </row>
    <row r="701" spans="12:19" x14ac:dyDescent="0.25">
      <c r="L701" s="94"/>
      <c r="M701" s="86"/>
      <c r="N701" s="158"/>
      <c r="O701" s="86"/>
      <c r="P701" s="174"/>
      <c r="Q701" s="121"/>
      <c r="R701" s="122"/>
      <c r="S701" s="76"/>
    </row>
    <row r="702" spans="12:19" x14ac:dyDescent="0.25">
      <c r="L702" s="94"/>
      <c r="M702" s="86"/>
      <c r="N702" s="158"/>
      <c r="O702" s="86"/>
      <c r="P702" s="174"/>
      <c r="Q702" s="121"/>
      <c r="R702" s="122"/>
      <c r="S702" s="76"/>
    </row>
    <row r="703" spans="12:19" x14ac:dyDescent="0.25">
      <c r="L703" s="94"/>
      <c r="M703" s="86"/>
      <c r="N703" s="158"/>
      <c r="O703" s="86"/>
      <c r="P703" s="174"/>
      <c r="Q703" s="121"/>
      <c r="R703" s="122"/>
      <c r="S703" s="76"/>
    </row>
    <row r="704" spans="12:19" x14ac:dyDescent="0.25">
      <c r="L704" s="94"/>
      <c r="M704" s="86"/>
      <c r="N704" s="158"/>
      <c r="O704" s="86"/>
      <c r="P704" s="174"/>
      <c r="Q704" s="121"/>
      <c r="R704" s="122"/>
      <c r="S704" s="76"/>
    </row>
    <row r="705" spans="12:19" x14ac:dyDescent="0.25">
      <c r="L705" s="94"/>
      <c r="M705" s="86"/>
      <c r="N705" s="158"/>
      <c r="O705" s="86"/>
      <c r="P705" s="174"/>
      <c r="Q705" s="121"/>
      <c r="R705" s="122"/>
      <c r="S705" s="76"/>
    </row>
    <row r="706" spans="12:19" x14ac:dyDescent="0.25">
      <c r="L706" s="94"/>
      <c r="M706" s="86"/>
      <c r="N706" s="158"/>
      <c r="O706" s="86"/>
      <c r="P706" s="174"/>
      <c r="Q706" s="121"/>
      <c r="R706" s="122"/>
      <c r="S706" s="76"/>
    </row>
    <row r="707" spans="12:19" x14ac:dyDescent="0.25">
      <c r="L707" s="94"/>
      <c r="M707" s="86"/>
      <c r="N707" s="158"/>
      <c r="O707" s="86"/>
      <c r="P707" s="174"/>
      <c r="Q707" s="121"/>
      <c r="R707" s="122"/>
      <c r="S707" s="76"/>
    </row>
    <row r="708" spans="12:19" x14ac:dyDescent="0.25">
      <c r="L708" s="94"/>
      <c r="M708" s="86"/>
      <c r="N708" s="158"/>
      <c r="O708" s="86"/>
      <c r="P708" s="174"/>
      <c r="Q708" s="121"/>
      <c r="R708" s="122"/>
      <c r="S708" s="76"/>
    </row>
    <row r="709" spans="12:19" x14ac:dyDescent="0.25">
      <c r="L709" s="94"/>
      <c r="M709" s="86"/>
      <c r="N709" s="158"/>
      <c r="O709" s="86"/>
      <c r="P709" s="174"/>
      <c r="Q709" s="121"/>
      <c r="R709" s="122"/>
      <c r="S709" s="76"/>
    </row>
    <row r="710" spans="12:19" x14ac:dyDescent="0.25">
      <c r="L710" s="94"/>
      <c r="M710" s="86"/>
      <c r="N710" s="158"/>
      <c r="O710" s="86"/>
      <c r="P710" s="174"/>
      <c r="Q710" s="121"/>
      <c r="R710" s="122"/>
      <c r="S710" s="76"/>
    </row>
    <row r="711" spans="12:19" x14ac:dyDescent="0.25">
      <c r="L711" s="94"/>
      <c r="M711" s="86"/>
      <c r="N711" s="158"/>
      <c r="O711" s="86"/>
      <c r="P711" s="174"/>
      <c r="Q711" s="121"/>
      <c r="R711" s="122"/>
      <c r="S711" s="76"/>
    </row>
    <row r="712" spans="12:19" x14ac:dyDescent="0.25">
      <c r="L712" s="94"/>
      <c r="M712" s="86"/>
      <c r="N712" s="158"/>
      <c r="O712" s="86"/>
      <c r="P712" s="174"/>
      <c r="Q712" s="121"/>
      <c r="R712" s="122"/>
      <c r="S712" s="76"/>
    </row>
    <row r="713" spans="12:19" x14ac:dyDescent="0.25">
      <c r="L713" s="94"/>
      <c r="M713" s="86"/>
      <c r="N713" s="158"/>
      <c r="O713" s="86"/>
      <c r="P713" s="174"/>
      <c r="Q713" s="121"/>
      <c r="R713" s="122"/>
      <c r="S713" s="76"/>
    </row>
    <row r="714" spans="12:19" x14ac:dyDescent="0.25">
      <c r="L714" s="94"/>
      <c r="M714" s="86"/>
      <c r="N714" s="158"/>
      <c r="O714" s="86"/>
      <c r="P714" s="174"/>
      <c r="Q714" s="121"/>
      <c r="R714" s="122"/>
      <c r="S714" s="76"/>
    </row>
    <row r="715" spans="12:19" x14ac:dyDescent="0.25">
      <c r="L715" s="94"/>
      <c r="M715" s="86"/>
      <c r="N715" s="158"/>
      <c r="O715" s="86"/>
      <c r="P715" s="174"/>
      <c r="Q715" s="121"/>
      <c r="R715" s="122"/>
      <c r="S715" s="76"/>
    </row>
    <row r="716" spans="12:19" x14ac:dyDescent="0.25">
      <c r="L716" s="94"/>
      <c r="M716" s="86"/>
      <c r="N716" s="158"/>
      <c r="O716" s="86"/>
      <c r="P716" s="174"/>
      <c r="Q716" s="121"/>
      <c r="R716" s="122"/>
      <c r="S716" s="76"/>
    </row>
    <row r="717" spans="12:19" x14ac:dyDescent="0.25">
      <c r="L717" s="94"/>
      <c r="M717" s="86"/>
      <c r="N717" s="158"/>
      <c r="O717" s="86"/>
      <c r="P717" s="174"/>
      <c r="Q717" s="121"/>
      <c r="R717" s="122"/>
      <c r="S717" s="76"/>
    </row>
    <row r="718" spans="12:19" x14ac:dyDescent="0.25">
      <c r="L718" s="94"/>
      <c r="M718" s="86"/>
      <c r="N718" s="158"/>
      <c r="O718" s="86"/>
      <c r="P718" s="174"/>
      <c r="Q718" s="121"/>
      <c r="R718" s="122"/>
      <c r="S718" s="76"/>
    </row>
    <row r="719" spans="12:19" x14ac:dyDescent="0.25">
      <c r="L719" s="94"/>
      <c r="M719" s="86"/>
      <c r="N719" s="158"/>
      <c r="O719" s="86"/>
      <c r="P719" s="174"/>
      <c r="Q719" s="121"/>
      <c r="R719" s="122"/>
      <c r="S719" s="76"/>
    </row>
    <row r="720" spans="12:19" x14ac:dyDescent="0.25">
      <c r="L720" s="94"/>
      <c r="M720" s="86"/>
      <c r="N720" s="158"/>
      <c r="O720" s="86"/>
      <c r="P720" s="174"/>
      <c r="Q720" s="121"/>
      <c r="R720" s="122"/>
      <c r="S720" s="76"/>
    </row>
    <row r="721" spans="12:19" x14ac:dyDescent="0.25">
      <c r="L721" s="94"/>
      <c r="M721" s="86"/>
      <c r="N721" s="158"/>
      <c r="O721" s="86"/>
      <c r="P721" s="174"/>
      <c r="Q721" s="121"/>
      <c r="R721" s="122"/>
      <c r="S721" s="76"/>
    </row>
    <row r="722" spans="12:19" x14ac:dyDescent="0.25">
      <c r="L722" s="94"/>
      <c r="M722" s="86"/>
      <c r="N722" s="158"/>
      <c r="O722" s="86"/>
      <c r="P722" s="174"/>
      <c r="Q722" s="121"/>
      <c r="R722" s="122"/>
      <c r="S722" s="76"/>
    </row>
    <row r="723" spans="12:19" x14ac:dyDescent="0.25">
      <c r="L723" s="94"/>
      <c r="M723" s="86"/>
      <c r="N723" s="158"/>
      <c r="O723" s="86"/>
      <c r="P723" s="174"/>
      <c r="Q723" s="121"/>
      <c r="R723" s="122"/>
      <c r="S723" s="76"/>
    </row>
    <row r="724" spans="12:19" x14ac:dyDescent="0.25">
      <c r="L724" s="94"/>
      <c r="M724" s="86"/>
      <c r="N724" s="158"/>
      <c r="O724" s="86"/>
      <c r="P724" s="174"/>
      <c r="Q724" s="121"/>
      <c r="R724" s="122"/>
      <c r="S724" s="76"/>
    </row>
    <row r="725" spans="12:19" x14ac:dyDescent="0.25">
      <c r="L725" s="94"/>
      <c r="M725" s="86"/>
      <c r="N725" s="158"/>
      <c r="O725" s="86"/>
      <c r="P725" s="174"/>
      <c r="Q725" s="121"/>
      <c r="R725" s="122"/>
      <c r="S725" s="76"/>
    </row>
    <row r="726" spans="12:19" x14ac:dyDescent="0.25">
      <c r="L726" s="94"/>
      <c r="M726" s="86"/>
      <c r="N726" s="158"/>
      <c r="O726" s="86"/>
      <c r="P726" s="174"/>
      <c r="Q726" s="121"/>
      <c r="R726" s="122"/>
      <c r="S726" s="76"/>
    </row>
    <row r="727" spans="12:19" x14ac:dyDescent="0.25">
      <c r="L727" s="94"/>
      <c r="M727" s="86"/>
      <c r="N727" s="158"/>
      <c r="O727" s="86"/>
      <c r="P727" s="174"/>
      <c r="Q727" s="121"/>
      <c r="R727" s="122"/>
      <c r="S727" s="76"/>
    </row>
    <row r="728" spans="12:19" x14ac:dyDescent="0.25">
      <c r="L728" s="94"/>
      <c r="M728" s="86"/>
      <c r="N728" s="158"/>
      <c r="O728" s="86"/>
      <c r="P728" s="174"/>
      <c r="Q728" s="121"/>
      <c r="R728" s="122"/>
      <c r="S728" s="76"/>
    </row>
    <row r="729" spans="12:19" x14ac:dyDescent="0.25">
      <c r="L729" s="94"/>
      <c r="M729" s="86"/>
      <c r="N729" s="158"/>
      <c r="O729" s="86"/>
      <c r="P729" s="174"/>
      <c r="Q729" s="121"/>
      <c r="R729" s="122"/>
      <c r="S729" s="76"/>
    </row>
    <row r="730" spans="12:19" x14ac:dyDescent="0.25">
      <c r="L730" s="94"/>
      <c r="M730" s="86"/>
      <c r="N730" s="158"/>
      <c r="O730" s="86"/>
      <c r="P730" s="174"/>
      <c r="Q730" s="121"/>
      <c r="R730" s="122"/>
      <c r="S730" s="76"/>
    </row>
    <row r="731" spans="12:19" x14ac:dyDescent="0.25">
      <c r="L731" s="94"/>
      <c r="M731" s="86"/>
      <c r="N731" s="158"/>
      <c r="O731" s="86"/>
      <c r="P731" s="174"/>
      <c r="Q731" s="121"/>
      <c r="R731" s="122"/>
      <c r="S731" s="76"/>
    </row>
    <row r="732" spans="12:19" x14ac:dyDescent="0.25">
      <c r="L732" s="94"/>
      <c r="M732" s="86"/>
      <c r="N732" s="158"/>
      <c r="O732" s="86"/>
      <c r="P732" s="174"/>
      <c r="Q732" s="121"/>
      <c r="R732" s="122"/>
      <c r="S732" s="76"/>
    </row>
    <row r="733" spans="12:19" x14ac:dyDescent="0.25">
      <c r="L733" s="94"/>
      <c r="M733" s="86"/>
      <c r="N733" s="158"/>
      <c r="O733" s="86"/>
      <c r="P733" s="174"/>
      <c r="Q733" s="121"/>
      <c r="R733" s="122"/>
      <c r="S733" s="76"/>
    </row>
    <row r="734" spans="12:19" x14ac:dyDescent="0.25">
      <c r="L734" s="94"/>
      <c r="M734" s="86"/>
      <c r="N734" s="158"/>
      <c r="O734" s="86"/>
      <c r="P734" s="174"/>
      <c r="Q734" s="121"/>
      <c r="R734" s="122"/>
      <c r="S734" s="76"/>
    </row>
    <row r="735" spans="12:19" x14ac:dyDescent="0.25">
      <c r="L735" s="94"/>
      <c r="M735" s="86"/>
      <c r="N735" s="158"/>
      <c r="O735" s="86"/>
      <c r="P735" s="174"/>
      <c r="Q735" s="121"/>
      <c r="R735" s="122"/>
      <c r="S735" s="76"/>
    </row>
    <row r="736" spans="12:19" x14ac:dyDescent="0.25">
      <c r="L736" s="94"/>
      <c r="M736" s="86"/>
      <c r="N736" s="158"/>
      <c r="O736" s="86"/>
      <c r="P736" s="174"/>
      <c r="Q736" s="121"/>
      <c r="R736" s="122"/>
      <c r="S736" s="76"/>
    </row>
    <row r="737" spans="12:19" x14ac:dyDescent="0.25">
      <c r="L737" s="94"/>
      <c r="M737" s="86"/>
      <c r="N737" s="158"/>
      <c r="O737" s="86"/>
      <c r="P737" s="174"/>
      <c r="Q737" s="121"/>
      <c r="R737" s="122"/>
      <c r="S737" s="76"/>
    </row>
    <row r="738" spans="12:19" x14ac:dyDescent="0.25">
      <c r="L738" s="94"/>
      <c r="M738" s="86"/>
      <c r="N738" s="158"/>
      <c r="O738" s="86"/>
      <c r="P738" s="174"/>
      <c r="Q738" s="121"/>
      <c r="R738" s="122"/>
      <c r="S738" s="76"/>
    </row>
    <row r="739" spans="12:19" x14ac:dyDescent="0.25">
      <c r="L739" s="94"/>
      <c r="M739" s="86"/>
      <c r="N739" s="158"/>
      <c r="O739" s="86"/>
      <c r="P739" s="174"/>
      <c r="Q739" s="121"/>
      <c r="R739" s="122"/>
      <c r="S739" s="76"/>
    </row>
    <row r="740" spans="12:19" x14ac:dyDescent="0.25">
      <c r="L740" s="94"/>
      <c r="M740" s="86"/>
      <c r="N740" s="158"/>
      <c r="O740" s="86"/>
      <c r="P740" s="174"/>
      <c r="Q740" s="121"/>
      <c r="R740" s="122"/>
      <c r="S740" s="76"/>
    </row>
    <row r="741" spans="12:19" x14ac:dyDescent="0.25">
      <c r="L741" s="94"/>
      <c r="M741" s="86"/>
      <c r="N741" s="158"/>
      <c r="O741" s="86"/>
      <c r="P741" s="174"/>
      <c r="Q741" s="121"/>
      <c r="R741" s="122"/>
      <c r="S741" s="76"/>
    </row>
    <row r="742" spans="12:19" x14ac:dyDescent="0.25">
      <c r="L742" s="94"/>
      <c r="M742" s="86"/>
      <c r="N742" s="158"/>
      <c r="O742" s="86"/>
      <c r="P742" s="174"/>
      <c r="Q742" s="121"/>
      <c r="R742" s="122"/>
      <c r="S742" s="76"/>
    </row>
    <row r="743" spans="12:19" x14ac:dyDescent="0.25">
      <c r="L743" s="94"/>
      <c r="M743" s="86"/>
      <c r="N743" s="158"/>
      <c r="O743" s="86"/>
      <c r="P743" s="174"/>
      <c r="Q743" s="121"/>
      <c r="R743" s="122"/>
      <c r="S743" s="76"/>
    </row>
    <row r="744" spans="12:19" x14ac:dyDescent="0.25">
      <c r="L744" s="94"/>
      <c r="M744" s="86"/>
      <c r="N744" s="158"/>
      <c r="O744" s="86"/>
      <c r="P744" s="174"/>
      <c r="Q744" s="121"/>
      <c r="R744" s="122"/>
      <c r="S744" s="76"/>
    </row>
    <row r="745" spans="12:19" x14ac:dyDescent="0.25">
      <c r="L745" s="94"/>
      <c r="M745" s="86"/>
      <c r="N745" s="158"/>
      <c r="O745" s="86"/>
      <c r="P745" s="174"/>
      <c r="Q745" s="121"/>
      <c r="R745" s="122"/>
      <c r="S745" s="76"/>
    </row>
    <row r="746" spans="12:19" x14ac:dyDescent="0.25">
      <c r="L746" s="94"/>
      <c r="M746" s="86"/>
      <c r="N746" s="158"/>
      <c r="O746" s="86"/>
      <c r="P746" s="174"/>
      <c r="Q746" s="121"/>
      <c r="R746" s="122"/>
      <c r="S746" s="76"/>
    </row>
    <row r="747" spans="12:19" x14ac:dyDescent="0.25">
      <c r="L747" s="94"/>
      <c r="M747" s="86"/>
      <c r="N747" s="158"/>
      <c r="O747" s="86"/>
      <c r="P747" s="174"/>
      <c r="Q747" s="121"/>
      <c r="R747" s="122"/>
      <c r="S747" s="76"/>
    </row>
    <row r="748" spans="12:19" x14ac:dyDescent="0.25">
      <c r="L748" s="94"/>
      <c r="M748" s="86"/>
      <c r="N748" s="158"/>
      <c r="O748" s="86"/>
      <c r="P748" s="174"/>
      <c r="Q748" s="121"/>
      <c r="R748" s="122"/>
      <c r="S748" s="76"/>
    </row>
    <row r="749" spans="12:19" x14ac:dyDescent="0.25">
      <c r="L749" s="94"/>
      <c r="M749" s="86"/>
      <c r="N749" s="158"/>
      <c r="O749" s="86"/>
      <c r="P749" s="174"/>
      <c r="Q749" s="121"/>
      <c r="R749" s="122"/>
      <c r="S749" s="76"/>
    </row>
    <row r="750" spans="12:19" x14ac:dyDescent="0.25">
      <c r="L750" s="94"/>
      <c r="M750" s="86"/>
      <c r="N750" s="158"/>
      <c r="O750" s="86"/>
      <c r="P750" s="174"/>
      <c r="Q750" s="121"/>
      <c r="R750" s="122"/>
      <c r="S750" s="76"/>
    </row>
    <row r="751" spans="12:19" x14ac:dyDescent="0.25">
      <c r="L751" s="94"/>
      <c r="M751" s="86"/>
      <c r="N751" s="158"/>
      <c r="O751" s="86"/>
      <c r="P751" s="174"/>
      <c r="Q751" s="121"/>
      <c r="R751" s="122"/>
      <c r="S751" s="76"/>
    </row>
    <row r="752" spans="12:19" x14ac:dyDescent="0.25">
      <c r="L752" s="94"/>
      <c r="M752" s="86"/>
      <c r="N752" s="158"/>
      <c r="O752" s="86"/>
      <c r="P752" s="174"/>
      <c r="Q752" s="121"/>
      <c r="R752" s="122"/>
      <c r="S752" s="76"/>
    </row>
    <row r="753" spans="12:19" x14ac:dyDescent="0.25">
      <c r="L753" s="94"/>
      <c r="M753" s="86"/>
      <c r="N753" s="158"/>
      <c r="O753" s="86"/>
      <c r="P753" s="174"/>
      <c r="Q753" s="121"/>
      <c r="R753" s="122"/>
      <c r="S753" s="76"/>
    </row>
    <row r="754" spans="12:19" x14ac:dyDescent="0.25">
      <c r="L754" s="94"/>
      <c r="M754" s="86"/>
      <c r="N754" s="158"/>
      <c r="O754" s="86"/>
      <c r="P754" s="174"/>
      <c r="Q754" s="121"/>
      <c r="R754" s="122"/>
      <c r="S754" s="76"/>
    </row>
    <row r="755" spans="12:19" x14ac:dyDescent="0.25">
      <c r="L755" s="94"/>
      <c r="M755" s="86"/>
      <c r="N755" s="158"/>
      <c r="O755" s="86"/>
      <c r="P755" s="174"/>
      <c r="Q755" s="121"/>
      <c r="R755" s="122"/>
      <c r="S755" s="76"/>
    </row>
    <row r="756" spans="12:19" x14ac:dyDescent="0.25">
      <c r="L756" s="94"/>
      <c r="M756" s="86"/>
      <c r="N756" s="158"/>
      <c r="O756" s="86"/>
      <c r="P756" s="174"/>
      <c r="Q756" s="121"/>
      <c r="R756" s="122"/>
      <c r="S756" s="76"/>
    </row>
    <row r="757" spans="12:19" x14ac:dyDescent="0.25">
      <c r="L757" s="94"/>
      <c r="M757" s="86"/>
      <c r="N757" s="158"/>
      <c r="O757" s="86"/>
      <c r="P757" s="174"/>
      <c r="Q757" s="121"/>
      <c r="R757" s="122"/>
      <c r="S757" s="76"/>
    </row>
    <row r="758" spans="12:19" x14ac:dyDescent="0.25">
      <c r="L758" s="94"/>
      <c r="M758" s="86"/>
      <c r="N758" s="158"/>
      <c r="O758" s="86"/>
      <c r="P758" s="174"/>
      <c r="Q758" s="121"/>
      <c r="R758" s="122"/>
      <c r="S758" s="76"/>
    </row>
    <row r="759" spans="12:19" x14ac:dyDescent="0.25">
      <c r="L759" s="94"/>
      <c r="M759" s="86"/>
      <c r="N759" s="158"/>
      <c r="O759" s="86"/>
      <c r="P759" s="174"/>
      <c r="Q759" s="121"/>
      <c r="R759" s="122"/>
      <c r="S759" s="76"/>
    </row>
    <row r="760" spans="12:19" x14ac:dyDescent="0.25">
      <c r="L760" s="94"/>
      <c r="M760" s="86"/>
      <c r="N760" s="158"/>
      <c r="O760" s="86"/>
      <c r="P760" s="174"/>
      <c r="Q760" s="121"/>
      <c r="R760" s="122"/>
      <c r="S760" s="76"/>
    </row>
    <row r="761" spans="12:19" x14ac:dyDescent="0.25">
      <c r="L761" s="94"/>
      <c r="M761" s="86"/>
      <c r="N761" s="158"/>
      <c r="O761" s="86"/>
      <c r="P761" s="174"/>
      <c r="Q761" s="121"/>
      <c r="R761" s="122"/>
      <c r="S761" s="76"/>
    </row>
    <row r="762" spans="12:19" x14ac:dyDescent="0.25">
      <c r="L762" s="94"/>
      <c r="M762" s="86"/>
      <c r="N762" s="158"/>
      <c r="O762" s="86"/>
      <c r="P762" s="174"/>
      <c r="Q762" s="121"/>
      <c r="R762" s="122"/>
      <c r="S762" s="76"/>
    </row>
    <row r="763" spans="12:19" x14ac:dyDescent="0.25">
      <c r="L763" s="94"/>
      <c r="M763" s="86"/>
      <c r="N763" s="158"/>
      <c r="O763" s="86"/>
      <c r="P763" s="174"/>
      <c r="Q763" s="121"/>
      <c r="R763" s="122"/>
      <c r="S763" s="76"/>
    </row>
    <row r="764" spans="12:19" x14ac:dyDescent="0.25">
      <c r="L764" s="94"/>
      <c r="M764" s="86"/>
      <c r="N764" s="158"/>
      <c r="O764" s="86"/>
      <c r="P764" s="174"/>
      <c r="Q764" s="121"/>
      <c r="R764" s="122"/>
      <c r="S764" s="76"/>
    </row>
    <row r="765" spans="12:19" x14ac:dyDescent="0.25">
      <c r="L765" s="94"/>
      <c r="M765" s="86"/>
      <c r="N765" s="158"/>
      <c r="O765" s="86"/>
      <c r="P765" s="174"/>
      <c r="Q765" s="121"/>
      <c r="R765" s="122"/>
      <c r="S765" s="76"/>
    </row>
    <row r="766" spans="12:19" x14ac:dyDescent="0.25">
      <c r="L766" s="94"/>
      <c r="M766" s="86"/>
      <c r="N766" s="158"/>
      <c r="O766" s="86"/>
      <c r="P766" s="174"/>
      <c r="Q766" s="121"/>
      <c r="R766" s="122"/>
      <c r="S766" s="76"/>
    </row>
    <row r="767" spans="12:19" x14ac:dyDescent="0.25">
      <c r="L767" s="94"/>
      <c r="M767" s="86"/>
      <c r="N767" s="158"/>
      <c r="O767" s="86"/>
      <c r="P767" s="174"/>
      <c r="Q767" s="121"/>
      <c r="R767" s="122"/>
      <c r="S767" s="76"/>
    </row>
    <row r="768" spans="12:19" x14ac:dyDescent="0.25">
      <c r="L768" s="94"/>
      <c r="M768" s="86"/>
      <c r="N768" s="158"/>
      <c r="O768" s="86"/>
      <c r="P768" s="174"/>
      <c r="Q768" s="121"/>
      <c r="R768" s="122"/>
      <c r="S768" s="76"/>
    </row>
    <row r="769" spans="12:19" x14ac:dyDescent="0.25">
      <c r="L769" s="94"/>
      <c r="M769" s="86"/>
      <c r="N769" s="158"/>
      <c r="O769" s="86"/>
      <c r="P769" s="174"/>
      <c r="Q769" s="121"/>
      <c r="R769" s="122"/>
      <c r="S769" s="76"/>
    </row>
    <row r="770" spans="12:19" x14ac:dyDescent="0.25">
      <c r="L770" s="94"/>
      <c r="M770" s="86"/>
      <c r="N770" s="158"/>
      <c r="O770" s="86"/>
      <c r="P770" s="174"/>
      <c r="Q770" s="121"/>
      <c r="R770" s="122"/>
      <c r="S770" s="76"/>
    </row>
    <row r="771" spans="12:19" x14ac:dyDescent="0.25">
      <c r="L771" s="94"/>
      <c r="M771" s="86"/>
      <c r="N771" s="158"/>
      <c r="O771" s="86"/>
      <c r="P771" s="174"/>
      <c r="Q771" s="121"/>
      <c r="R771" s="122"/>
      <c r="S771" s="76"/>
    </row>
    <row r="772" spans="12:19" x14ac:dyDescent="0.25">
      <c r="L772" s="94"/>
      <c r="M772" s="86"/>
      <c r="N772" s="158"/>
      <c r="O772" s="86"/>
      <c r="P772" s="174"/>
      <c r="Q772" s="121"/>
      <c r="R772" s="122"/>
      <c r="S772" s="76"/>
    </row>
    <row r="773" spans="12:19" x14ac:dyDescent="0.25">
      <c r="L773" s="94"/>
      <c r="M773" s="86"/>
      <c r="N773" s="158"/>
      <c r="O773" s="86"/>
      <c r="P773" s="174"/>
      <c r="Q773" s="121"/>
      <c r="R773" s="122"/>
      <c r="S773" s="76"/>
    </row>
    <row r="774" spans="12:19" x14ac:dyDescent="0.25">
      <c r="L774" s="94"/>
      <c r="M774" s="86"/>
      <c r="N774" s="158"/>
      <c r="O774" s="86"/>
      <c r="P774" s="174"/>
      <c r="Q774" s="121"/>
      <c r="R774" s="122"/>
      <c r="S774" s="76"/>
    </row>
    <row r="775" spans="12:19" x14ac:dyDescent="0.25">
      <c r="L775" s="94"/>
      <c r="M775" s="86"/>
      <c r="N775" s="158"/>
      <c r="O775" s="86"/>
      <c r="P775" s="174"/>
      <c r="Q775" s="121"/>
      <c r="R775" s="122"/>
      <c r="S775" s="76"/>
    </row>
    <row r="776" spans="12:19" x14ac:dyDescent="0.25">
      <c r="L776" s="94"/>
      <c r="M776" s="86"/>
      <c r="N776" s="158"/>
      <c r="O776" s="86"/>
      <c r="P776" s="174"/>
      <c r="Q776" s="121"/>
      <c r="R776" s="122"/>
      <c r="S776" s="76"/>
    </row>
    <row r="777" spans="12:19" x14ac:dyDescent="0.25">
      <c r="L777" s="94"/>
      <c r="M777" s="86"/>
      <c r="N777" s="158"/>
      <c r="O777" s="86"/>
      <c r="P777" s="174"/>
      <c r="Q777" s="121"/>
      <c r="R777" s="122"/>
      <c r="S777" s="76"/>
    </row>
    <row r="778" spans="12:19" x14ac:dyDescent="0.25">
      <c r="L778" s="94"/>
      <c r="M778" s="86"/>
      <c r="N778" s="158"/>
      <c r="O778" s="86"/>
      <c r="P778" s="174"/>
      <c r="Q778" s="121"/>
      <c r="R778" s="122"/>
      <c r="S778" s="76"/>
    </row>
    <row r="779" spans="12:19" x14ac:dyDescent="0.25">
      <c r="L779" s="94"/>
      <c r="M779" s="86"/>
      <c r="N779" s="158"/>
      <c r="O779" s="86"/>
      <c r="P779" s="174"/>
      <c r="Q779" s="121"/>
      <c r="R779" s="122"/>
      <c r="S779" s="76"/>
    </row>
    <row r="780" spans="12:19" x14ac:dyDescent="0.25">
      <c r="L780" s="94"/>
      <c r="M780" s="86"/>
      <c r="N780" s="158"/>
      <c r="O780" s="86"/>
      <c r="P780" s="174"/>
      <c r="Q780" s="121"/>
      <c r="R780" s="122"/>
      <c r="S780" s="76"/>
    </row>
    <row r="781" spans="12:19" x14ac:dyDescent="0.25">
      <c r="L781" s="94"/>
      <c r="M781" s="86"/>
      <c r="N781" s="158"/>
      <c r="O781" s="86"/>
      <c r="P781" s="174"/>
      <c r="Q781" s="121"/>
      <c r="R781" s="122"/>
      <c r="S781" s="76"/>
    </row>
    <row r="782" spans="12:19" x14ac:dyDescent="0.25">
      <c r="L782" s="94"/>
      <c r="M782" s="86"/>
      <c r="N782" s="158"/>
      <c r="O782" s="86"/>
      <c r="P782" s="174"/>
      <c r="Q782" s="121"/>
      <c r="R782" s="122"/>
      <c r="S782" s="76"/>
    </row>
    <row r="783" spans="12:19" x14ac:dyDescent="0.25">
      <c r="L783" s="94"/>
      <c r="M783" s="86"/>
      <c r="N783" s="158"/>
      <c r="O783" s="86"/>
      <c r="P783" s="174"/>
      <c r="Q783" s="121"/>
      <c r="R783" s="122"/>
      <c r="S783" s="76"/>
    </row>
    <row r="784" spans="12:19" x14ac:dyDescent="0.25">
      <c r="L784" s="94"/>
      <c r="M784" s="86"/>
      <c r="N784" s="158"/>
      <c r="O784" s="86"/>
      <c r="P784" s="174"/>
      <c r="Q784" s="121"/>
      <c r="R784" s="122"/>
      <c r="S784" s="76"/>
    </row>
    <row r="785" spans="12:19" x14ac:dyDescent="0.25">
      <c r="L785" s="94"/>
      <c r="M785" s="86"/>
      <c r="N785" s="158"/>
      <c r="O785" s="86"/>
      <c r="P785" s="174"/>
      <c r="Q785" s="121"/>
      <c r="R785" s="122"/>
      <c r="S785" s="76"/>
    </row>
    <row r="786" spans="12:19" x14ac:dyDescent="0.25">
      <c r="L786" s="94"/>
      <c r="M786" s="86"/>
      <c r="N786" s="158"/>
      <c r="O786" s="86"/>
      <c r="P786" s="174"/>
      <c r="Q786" s="121"/>
      <c r="R786" s="122"/>
      <c r="S786" s="76"/>
    </row>
    <row r="787" spans="12:19" x14ac:dyDescent="0.25">
      <c r="L787" s="94"/>
      <c r="M787" s="86"/>
      <c r="N787" s="158"/>
      <c r="O787" s="86"/>
      <c r="P787" s="174"/>
      <c r="Q787" s="121"/>
      <c r="R787" s="122"/>
      <c r="S787" s="76"/>
    </row>
    <row r="788" spans="12:19" x14ac:dyDescent="0.25">
      <c r="L788" s="94"/>
      <c r="M788" s="86"/>
      <c r="N788" s="158"/>
      <c r="O788" s="86"/>
      <c r="P788" s="174"/>
      <c r="Q788" s="121"/>
      <c r="R788" s="122"/>
      <c r="S788" s="76"/>
    </row>
    <row r="789" spans="12:19" x14ac:dyDescent="0.25">
      <c r="L789" s="94"/>
      <c r="M789" s="86"/>
      <c r="N789" s="158"/>
      <c r="O789" s="86"/>
      <c r="P789" s="174"/>
      <c r="Q789" s="121"/>
      <c r="R789" s="122"/>
      <c r="S789" s="76"/>
    </row>
    <row r="790" spans="12:19" x14ac:dyDescent="0.25">
      <c r="L790" s="94"/>
      <c r="M790" s="86"/>
      <c r="N790" s="158"/>
      <c r="O790" s="86"/>
      <c r="P790" s="174"/>
      <c r="Q790" s="121"/>
      <c r="R790" s="122"/>
      <c r="S790" s="76"/>
    </row>
    <row r="791" spans="12:19" x14ac:dyDescent="0.25">
      <c r="L791" s="94"/>
      <c r="M791" s="86"/>
      <c r="N791" s="158"/>
      <c r="O791" s="86"/>
      <c r="P791" s="174"/>
      <c r="Q791" s="121"/>
      <c r="R791" s="122"/>
      <c r="S791" s="76"/>
    </row>
    <row r="792" spans="12:19" x14ac:dyDescent="0.25">
      <c r="L792" s="94"/>
      <c r="M792" s="86"/>
      <c r="N792" s="158"/>
      <c r="O792" s="86"/>
      <c r="P792" s="174"/>
      <c r="Q792" s="121"/>
      <c r="R792" s="122"/>
      <c r="S792" s="76"/>
    </row>
    <row r="793" spans="12:19" x14ac:dyDescent="0.25">
      <c r="L793" s="94"/>
      <c r="M793" s="86"/>
      <c r="N793" s="158"/>
      <c r="O793" s="86"/>
      <c r="P793" s="174"/>
      <c r="Q793" s="121"/>
      <c r="R793" s="122"/>
      <c r="S793" s="76"/>
    </row>
    <row r="794" spans="12:19" x14ac:dyDescent="0.25">
      <c r="L794" s="94"/>
      <c r="M794" s="86"/>
      <c r="N794" s="158"/>
      <c r="O794" s="86"/>
      <c r="P794" s="174"/>
      <c r="Q794" s="121"/>
      <c r="R794" s="122"/>
      <c r="S794" s="76"/>
    </row>
    <row r="795" spans="12:19" x14ac:dyDescent="0.25">
      <c r="L795" s="94"/>
      <c r="M795" s="86"/>
      <c r="N795" s="158"/>
      <c r="O795" s="86"/>
      <c r="P795" s="174"/>
      <c r="Q795" s="121"/>
      <c r="R795" s="122"/>
      <c r="S795" s="76"/>
    </row>
    <row r="796" spans="12:19" x14ac:dyDescent="0.25">
      <c r="L796" s="94"/>
      <c r="M796" s="86"/>
      <c r="N796" s="158"/>
      <c r="O796" s="86"/>
      <c r="P796" s="174"/>
      <c r="Q796" s="121"/>
      <c r="R796" s="122"/>
      <c r="S796" s="76"/>
    </row>
    <row r="797" spans="12:19" x14ac:dyDescent="0.25">
      <c r="L797" s="94"/>
      <c r="M797" s="86"/>
      <c r="N797" s="158"/>
      <c r="O797" s="86"/>
      <c r="P797" s="174"/>
      <c r="Q797" s="121"/>
      <c r="R797" s="122"/>
      <c r="S797" s="76"/>
    </row>
    <row r="798" spans="12:19" x14ac:dyDescent="0.25">
      <c r="L798" s="94"/>
      <c r="M798" s="86"/>
      <c r="N798" s="158"/>
      <c r="O798" s="86"/>
      <c r="P798" s="174"/>
      <c r="Q798" s="121"/>
      <c r="R798" s="122"/>
      <c r="S798" s="76"/>
    </row>
    <row r="799" spans="12:19" x14ac:dyDescent="0.25">
      <c r="L799" s="94"/>
      <c r="M799" s="86"/>
      <c r="N799" s="158"/>
      <c r="O799" s="86"/>
      <c r="P799" s="174"/>
      <c r="Q799" s="121"/>
      <c r="R799" s="122"/>
      <c r="S799" s="76"/>
    </row>
    <row r="800" spans="12:19" x14ac:dyDescent="0.25">
      <c r="L800" s="94"/>
      <c r="M800" s="86"/>
      <c r="N800" s="158"/>
      <c r="O800" s="86"/>
      <c r="P800" s="174"/>
      <c r="Q800" s="121"/>
      <c r="R800" s="122"/>
      <c r="S800" s="76"/>
    </row>
    <row r="801" spans="12:19" x14ac:dyDescent="0.25">
      <c r="L801" s="94"/>
      <c r="M801" s="86"/>
      <c r="N801" s="158"/>
      <c r="O801" s="86"/>
      <c r="P801" s="174"/>
      <c r="Q801" s="121"/>
      <c r="R801" s="122"/>
      <c r="S801" s="76"/>
    </row>
    <row r="802" spans="12:19" x14ac:dyDescent="0.25">
      <c r="L802" s="94"/>
      <c r="M802" s="86"/>
      <c r="N802" s="158"/>
      <c r="O802" s="86"/>
      <c r="P802" s="174"/>
      <c r="Q802" s="121"/>
      <c r="R802" s="122"/>
      <c r="S802" s="76"/>
    </row>
    <row r="803" spans="12:19" x14ac:dyDescent="0.25">
      <c r="L803" s="94"/>
      <c r="M803" s="86"/>
      <c r="N803" s="158"/>
      <c r="O803" s="86"/>
      <c r="P803" s="174"/>
      <c r="Q803" s="121"/>
      <c r="R803" s="122"/>
      <c r="S803" s="76"/>
    </row>
    <row r="804" spans="12:19" x14ac:dyDescent="0.25">
      <c r="L804" s="94"/>
      <c r="M804" s="86"/>
      <c r="N804" s="158"/>
      <c r="O804" s="86"/>
      <c r="P804" s="174"/>
      <c r="Q804" s="121"/>
      <c r="R804" s="122"/>
      <c r="S804" s="76"/>
    </row>
    <row r="805" spans="12:19" x14ac:dyDescent="0.25">
      <c r="L805" s="94"/>
      <c r="M805" s="86"/>
      <c r="N805" s="158"/>
      <c r="O805" s="86"/>
      <c r="P805" s="174"/>
      <c r="Q805" s="121"/>
      <c r="R805" s="122"/>
      <c r="S805" s="76"/>
    </row>
    <row r="806" spans="12:19" x14ac:dyDescent="0.25">
      <c r="L806" s="94"/>
      <c r="M806" s="86"/>
      <c r="N806" s="158"/>
      <c r="O806" s="86"/>
      <c r="P806" s="174"/>
      <c r="Q806" s="121"/>
      <c r="R806" s="122"/>
      <c r="S806" s="76"/>
    </row>
    <row r="807" spans="12:19" x14ac:dyDescent="0.25">
      <c r="L807" s="94"/>
      <c r="M807" s="86"/>
      <c r="N807" s="158"/>
      <c r="O807" s="86"/>
      <c r="P807" s="174"/>
      <c r="Q807" s="121"/>
      <c r="R807" s="122"/>
      <c r="S807" s="76"/>
    </row>
    <row r="808" spans="12:19" x14ac:dyDescent="0.25">
      <c r="L808" s="94"/>
      <c r="M808" s="86"/>
      <c r="N808" s="158"/>
      <c r="O808" s="86"/>
      <c r="P808" s="174"/>
      <c r="Q808" s="121"/>
      <c r="R808" s="122"/>
      <c r="S808" s="76"/>
    </row>
    <row r="809" spans="12:19" x14ac:dyDescent="0.25">
      <c r="L809" s="94"/>
      <c r="M809" s="86"/>
      <c r="N809" s="158"/>
      <c r="O809" s="86"/>
      <c r="P809" s="174"/>
      <c r="Q809" s="121"/>
      <c r="R809" s="122"/>
      <c r="S809" s="76"/>
    </row>
    <row r="810" spans="12:19" x14ac:dyDescent="0.25">
      <c r="L810" s="94"/>
      <c r="M810" s="86"/>
      <c r="N810" s="158"/>
      <c r="O810" s="86"/>
      <c r="P810" s="174"/>
      <c r="Q810" s="121"/>
      <c r="R810" s="122"/>
      <c r="S810" s="76"/>
    </row>
    <row r="811" spans="12:19" x14ac:dyDescent="0.25">
      <c r="L811" s="94"/>
      <c r="M811" s="86"/>
      <c r="N811" s="158"/>
      <c r="O811" s="86"/>
      <c r="P811" s="174"/>
      <c r="Q811" s="121"/>
      <c r="R811" s="122"/>
      <c r="S811" s="76"/>
    </row>
    <row r="812" spans="12:19" x14ac:dyDescent="0.25">
      <c r="L812" s="94"/>
      <c r="M812" s="86"/>
      <c r="N812" s="158"/>
      <c r="O812" s="86"/>
      <c r="P812" s="174"/>
      <c r="Q812" s="121"/>
      <c r="R812" s="122"/>
      <c r="S812" s="76"/>
    </row>
    <row r="813" spans="12:19" x14ac:dyDescent="0.25">
      <c r="L813" s="94"/>
      <c r="M813" s="86"/>
      <c r="N813" s="158"/>
      <c r="O813" s="86"/>
      <c r="P813" s="174"/>
      <c r="Q813" s="121"/>
      <c r="R813" s="122"/>
      <c r="S813" s="76"/>
    </row>
    <row r="814" spans="12:19" x14ac:dyDescent="0.25">
      <c r="L814" s="94"/>
      <c r="M814" s="86"/>
      <c r="N814" s="158"/>
      <c r="O814" s="86"/>
      <c r="P814" s="174"/>
      <c r="Q814" s="121"/>
      <c r="R814" s="122"/>
      <c r="S814" s="76"/>
    </row>
    <row r="815" spans="12:19" x14ac:dyDescent="0.25">
      <c r="L815" s="94"/>
      <c r="M815" s="86"/>
      <c r="N815" s="158"/>
      <c r="O815" s="86"/>
      <c r="P815" s="174"/>
      <c r="Q815" s="121"/>
      <c r="R815" s="122"/>
      <c r="S815" s="76"/>
    </row>
    <row r="816" spans="12:19" x14ac:dyDescent="0.25">
      <c r="L816" s="94"/>
      <c r="M816" s="86"/>
      <c r="N816" s="158"/>
      <c r="O816" s="86"/>
      <c r="P816" s="174"/>
      <c r="Q816" s="121"/>
      <c r="R816" s="122"/>
      <c r="S816" s="76"/>
    </row>
    <row r="817" spans="12:19" x14ac:dyDescent="0.25">
      <c r="L817" s="94"/>
      <c r="M817" s="86"/>
      <c r="N817" s="158"/>
      <c r="O817" s="86"/>
      <c r="P817" s="174"/>
      <c r="Q817" s="121"/>
      <c r="R817" s="122"/>
      <c r="S817" s="76"/>
    </row>
    <row r="818" spans="12:19" x14ac:dyDescent="0.25">
      <c r="L818" s="94"/>
      <c r="M818" s="86"/>
      <c r="N818" s="158"/>
      <c r="O818" s="86"/>
      <c r="P818" s="174"/>
      <c r="Q818" s="121"/>
      <c r="R818" s="122"/>
      <c r="S818" s="76"/>
    </row>
    <row r="819" spans="12:19" x14ac:dyDescent="0.25">
      <c r="L819" s="94"/>
      <c r="M819" s="86"/>
      <c r="N819" s="158"/>
      <c r="O819" s="86"/>
      <c r="P819" s="174"/>
      <c r="Q819" s="121"/>
      <c r="R819" s="122"/>
      <c r="S819" s="76"/>
    </row>
    <row r="820" spans="12:19" x14ac:dyDescent="0.25">
      <c r="L820" s="94"/>
      <c r="M820" s="86"/>
      <c r="N820" s="158"/>
      <c r="O820" s="86"/>
      <c r="P820" s="174"/>
      <c r="Q820" s="121"/>
      <c r="R820" s="122"/>
      <c r="S820" s="76"/>
    </row>
    <row r="821" spans="12:19" x14ac:dyDescent="0.25">
      <c r="L821" s="94"/>
      <c r="M821" s="86"/>
      <c r="N821" s="158"/>
      <c r="O821" s="86"/>
      <c r="P821" s="174"/>
      <c r="Q821" s="121"/>
      <c r="R821" s="122"/>
      <c r="S821" s="76"/>
    </row>
    <row r="822" spans="12:19" x14ac:dyDescent="0.25">
      <c r="L822" s="94"/>
      <c r="M822" s="86"/>
      <c r="N822" s="158"/>
      <c r="O822" s="86"/>
      <c r="P822" s="174"/>
      <c r="Q822" s="121"/>
      <c r="R822" s="122"/>
      <c r="S822" s="76"/>
    </row>
    <row r="823" spans="12:19" x14ac:dyDescent="0.25">
      <c r="L823" s="94"/>
      <c r="M823" s="86"/>
      <c r="N823" s="158"/>
      <c r="O823" s="86"/>
      <c r="P823" s="174"/>
      <c r="Q823" s="121"/>
      <c r="R823" s="122"/>
      <c r="S823" s="76"/>
    </row>
    <row r="824" spans="12:19" x14ac:dyDescent="0.25">
      <c r="L824" s="94"/>
      <c r="M824" s="86"/>
      <c r="N824" s="158"/>
      <c r="O824" s="86"/>
      <c r="P824" s="174"/>
      <c r="Q824" s="121"/>
      <c r="R824" s="122"/>
      <c r="S824" s="76"/>
    </row>
    <row r="825" spans="12:19" x14ac:dyDescent="0.25">
      <c r="L825" s="94"/>
      <c r="M825" s="86"/>
      <c r="N825" s="158"/>
      <c r="O825" s="86"/>
      <c r="P825" s="174"/>
      <c r="Q825" s="121"/>
      <c r="R825" s="122"/>
      <c r="S825" s="76"/>
    </row>
    <row r="826" spans="12:19" x14ac:dyDescent="0.25">
      <c r="L826" s="94"/>
      <c r="M826" s="86"/>
      <c r="N826" s="158"/>
      <c r="O826" s="86"/>
      <c r="P826" s="174"/>
      <c r="Q826" s="121"/>
      <c r="R826" s="122"/>
      <c r="S826" s="76"/>
    </row>
    <row r="827" spans="12:19" x14ac:dyDescent="0.25">
      <c r="L827" s="94"/>
      <c r="M827" s="86"/>
      <c r="N827" s="158"/>
      <c r="O827" s="86"/>
      <c r="P827" s="174"/>
      <c r="Q827" s="121"/>
      <c r="R827" s="122"/>
      <c r="S827" s="76"/>
    </row>
    <row r="828" spans="12:19" x14ac:dyDescent="0.25">
      <c r="L828" s="94"/>
      <c r="M828" s="86"/>
      <c r="N828" s="158"/>
      <c r="O828" s="86"/>
      <c r="P828" s="174"/>
      <c r="Q828" s="121"/>
      <c r="R828" s="122"/>
      <c r="S828" s="76"/>
    </row>
    <row r="829" spans="12:19" x14ac:dyDescent="0.25">
      <c r="L829" s="94"/>
      <c r="M829" s="86"/>
      <c r="N829" s="158"/>
      <c r="O829" s="86"/>
      <c r="P829" s="174"/>
      <c r="Q829" s="121"/>
      <c r="R829" s="122"/>
      <c r="S829" s="76"/>
    </row>
    <row r="830" spans="12:19" x14ac:dyDescent="0.25">
      <c r="L830" s="94"/>
      <c r="M830" s="86"/>
      <c r="N830" s="158"/>
      <c r="O830" s="86"/>
      <c r="P830" s="174"/>
      <c r="Q830" s="121"/>
      <c r="R830" s="122"/>
      <c r="S830" s="76"/>
    </row>
    <row r="831" spans="12:19" x14ac:dyDescent="0.25">
      <c r="L831" s="94"/>
      <c r="M831" s="86"/>
      <c r="N831" s="158"/>
      <c r="O831" s="86"/>
      <c r="P831" s="174"/>
      <c r="Q831" s="121"/>
      <c r="R831" s="122"/>
      <c r="S831" s="76"/>
    </row>
    <row r="832" spans="12:19" x14ac:dyDescent="0.25">
      <c r="L832" s="94"/>
      <c r="M832" s="86"/>
      <c r="N832" s="158"/>
      <c r="O832" s="86"/>
      <c r="P832" s="174"/>
      <c r="Q832" s="121"/>
      <c r="R832" s="122"/>
      <c r="S832" s="76"/>
    </row>
    <row r="833" spans="12:19" x14ac:dyDescent="0.25">
      <c r="L833" s="94"/>
      <c r="M833" s="86"/>
      <c r="N833" s="158"/>
      <c r="O833" s="86"/>
      <c r="P833" s="174"/>
      <c r="Q833" s="121"/>
      <c r="R833" s="122"/>
      <c r="S833" s="76"/>
    </row>
    <row r="834" spans="12:19" x14ac:dyDescent="0.25">
      <c r="L834" s="94"/>
      <c r="M834" s="86"/>
      <c r="N834" s="158"/>
      <c r="O834" s="86"/>
      <c r="P834" s="174"/>
      <c r="Q834" s="121"/>
      <c r="R834" s="122"/>
      <c r="S834" s="76"/>
    </row>
    <row r="835" spans="12:19" x14ac:dyDescent="0.25">
      <c r="L835" s="94"/>
      <c r="M835" s="86"/>
      <c r="N835" s="158"/>
      <c r="O835" s="86"/>
      <c r="P835" s="174"/>
      <c r="Q835" s="121"/>
      <c r="R835" s="122"/>
      <c r="S835" s="76"/>
    </row>
    <row r="836" spans="12:19" x14ac:dyDescent="0.25">
      <c r="L836" s="94"/>
      <c r="M836" s="86"/>
      <c r="N836" s="158"/>
      <c r="O836" s="86"/>
      <c r="P836" s="174"/>
      <c r="Q836" s="121"/>
      <c r="R836" s="122"/>
      <c r="S836" s="76"/>
    </row>
    <row r="837" spans="12:19" x14ac:dyDescent="0.25">
      <c r="L837" s="94"/>
      <c r="M837" s="86"/>
      <c r="N837" s="158"/>
      <c r="O837" s="86"/>
      <c r="P837" s="174"/>
      <c r="Q837" s="121"/>
      <c r="R837" s="122"/>
      <c r="S837" s="76"/>
    </row>
    <row r="838" spans="12:19" x14ac:dyDescent="0.25">
      <c r="L838" s="94"/>
      <c r="M838" s="86"/>
      <c r="N838" s="158"/>
      <c r="O838" s="86"/>
      <c r="P838" s="174"/>
      <c r="Q838" s="121"/>
      <c r="R838" s="122"/>
      <c r="S838" s="76"/>
    </row>
    <row r="839" spans="12:19" x14ac:dyDescent="0.25">
      <c r="L839" s="94"/>
      <c r="M839" s="86"/>
      <c r="N839" s="158"/>
      <c r="O839" s="86"/>
      <c r="P839" s="174"/>
      <c r="Q839" s="121"/>
      <c r="R839" s="122"/>
      <c r="S839" s="76"/>
    </row>
    <row r="840" spans="12:19" x14ac:dyDescent="0.25">
      <c r="L840" s="94"/>
      <c r="M840" s="86"/>
      <c r="N840" s="158"/>
      <c r="O840" s="86"/>
      <c r="P840" s="174"/>
      <c r="Q840" s="121"/>
      <c r="R840" s="122"/>
      <c r="S840" s="76"/>
    </row>
    <row r="841" spans="12:19" x14ac:dyDescent="0.25">
      <c r="L841" s="94"/>
      <c r="M841" s="86"/>
      <c r="N841" s="158"/>
      <c r="O841" s="86"/>
      <c r="P841" s="174"/>
      <c r="Q841" s="121"/>
      <c r="R841" s="122"/>
      <c r="S841" s="76"/>
    </row>
    <row r="842" spans="12:19" x14ac:dyDescent="0.25">
      <c r="L842" s="94"/>
      <c r="M842" s="86"/>
      <c r="N842" s="158"/>
      <c r="O842" s="86"/>
      <c r="P842" s="174"/>
      <c r="Q842" s="121"/>
      <c r="R842" s="122"/>
      <c r="S842" s="76"/>
    </row>
    <row r="843" spans="12:19" x14ac:dyDescent="0.25">
      <c r="L843" s="94"/>
      <c r="M843" s="86"/>
      <c r="N843" s="158"/>
      <c r="O843" s="86"/>
      <c r="P843" s="174"/>
      <c r="Q843" s="121"/>
      <c r="R843" s="122"/>
      <c r="S843" s="76"/>
    </row>
    <row r="844" spans="12:19" x14ac:dyDescent="0.25">
      <c r="L844" s="94"/>
      <c r="M844" s="86"/>
      <c r="N844" s="158"/>
      <c r="O844" s="86"/>
      <c r="P844" s="174"/>
      <c r="Q844" s="121"/>
      <c r="R844" s="122"/>
      <c r="S844" s="76"/>
    </row>
    <row r="845" spans="12:19" x14ac:dyDescent="0.25">
      <c r="L845" s="94"/>
      <c r="M845" s="86"/>
      <c r="N845" s="158"/>
      <c r="O845" s="86"/>
      <c r="P845" s="174"/>
      <c r="Q845" s="121"/>
      <c r="R845" s="122"/>
      <c r="S845" s="76"/>
    </row>
    <row r="846" spans="12:19" x14ac:dyDescent="0.25">
      <c r="L846" s="94"/>
      <c r="M846" s="86"/>
      <c r="N846" s="158"/>
      <c r="O846" s="86"/>
      <c r="P846" s="174"/>
      <c r="Q846" s="121"/>
      <c r="R846" s="122"/>
      <c r="S846" s="76"/>
    </row>
    <row r="847" spans="12:19" x14ac:dyDescent="0.25">
      <c r="L847" s="94"/>
      <c r="M847" s="86"/>
      <c r="N847" s="158"/>
      <c r="O847" s="86"/>
      <c r="P847" s="174"/>
      <c r="Q847" s="121"/>
      <c r="R847" s="122"/>
      <c r="S847" s="76"/>
    </row>
    <row r="848" spans="12:19" x14ac:dyDescent="0.25">
      <c r="L848" s="94"/>
      <c r="M848" s="86"/>
      <c r="N848" s="158"/>
      <c r="O848" s="86"/>
      <c r="P848" s="174"/>
      <c r="Q848" s="121"/>
      <c r="R848" s="122"/>
      <c r="S848" s="76"/>
    </row>
    <row r="849" spans="12:19" x14ac:dyDescent="0.25">
      <c r="L849" s="94"/>
      <c r="M849" s="86"/>
      <c r="N849" s="158"/>
      <c r="O849" s="86"/>
      <c r="P849" s="174"/>
      <c r="Q849" s="121"/>
      <c r="R849" s="122"/>
      <c r="S849" s="76"/>
    </row>
    <row r="850" spans="12:19" x14ac:dyDescent="0.25">
      <c r="L850" s="94"/>
      <c r="M850" s="86"/>
      <c r="N850" s="158"/>
      <c r="O850" s="86"/>
      <c r="P850" s="174"/>
      <c r="Q850" s="121"/>
      <c r="R850" s="122"/>
      <c r="S850" s="76"/>
    </row>
    <row r="851" spans="12:19" x14ac:dyDescent="0.25">
      <c r="L851" s="94"/>
      <c r="M851" s="86"/>
      <c r="N851" s="158"/>
      <c r="O851" s="86"/>
      <c r="P851" s="174"/>
      <c r="Q851" s="121"/>
      <c r="R851" s="122"/>
      <c r="S851" s="76"/>
    </row>
    <row r="852" spans="12:19" x14ac:dyDescent="0.25">
      <c r="L852" s="94"/>
      <c r="M852" s="86"/>
      <c r="N852" s="158"/>
      <c r="O852" s="86"/>
      <c r="P852" s="174"/>
      <c r="Q852" s="121"/>
      <c r="R852" s="122"/>
      <c r="S852" s="76"/>
    </row>
    <row r="853" spans="12:19" x14ac:dyDescent="0.25">
      <c r="L853" s="94"/>
      <c r="M853" s="86"/>
      <c r="N853" s="158"/>
      <c r="O853" s="86"/>
      <c r="P853" s="174"/>
      <c r="Q853" s="121"/>
      <c r="R853" s="122"/>
      <c r="S853" s="76"/>
    </row>
    <row r="854" spans="12:19" x14ac:dyDescent="0.25">
      <c r="L854" s="94"/>
      <c r="M854" s="86"/>
      <c r="N854" s="158"/>
      <c r="O854" s="86"/>
      <c r="P854" s="174"/>
      <c r="Q854" s="121"/>
      <c r="R854" s="122"/>
      <c r="S854" s="76"/>
    </row>
    <row r="855" spans="12:19" x14ac:dyDescent="0.25">
      <c r="L855" s="94"/>
      <c r="M855" s="86"/>
      <c r="N855" s="158"/>
      <c r="O855" s="86"/>
      <c r="P855" s="174"/>
      <c r="Q855" s="121"/>
      <c r="R855" s="122"/>
      <c r="S855" s="76"/>
    </row>
    <row r="856" spans="12:19" x14ac:dyDescent="0.25">
      <c r="L856" s="94"/>
      <c r="M856" s="86"/>
      <c r="N856" s="158"/>
      <c r="O856" s="86"/>
      <c r="P856" s="174"/>
      <c r="Q856" s="121"/>
      <c r="R856" s="122"/>
      <c r="S856" s="76"/>
    </row>
    <row r="857" spans="12:19" x14ac:dyDescent="0.25">
      <c r="L857" s="94"/>
      <c r="M857" s="86"/>
      <c r="N857" s="158"/>
      <c r="O857" s="86"/>
      <c r="P857" s="174"/>
      <c r="Q857" s="121"/>
      <c r="R857" s="122"/>
      <c r="S857" s="76"/>
    </row>
    <row r="858" spans="12:19" x14ac:dyDescent="0.25">
      <c r="L858" s="94"/>
      <c r="M858" s="86"/>
      <c r="N858" s="158"/>
      <c r="O858" s="86"/>
      <c r="P858" s="174"/>
      <c r="Q858" s="121"/>
      <c r="R858" s="122"/>
      <c r="S858" s="76"/>
    </row>
    <row r="859" spans="12:19" x14ac:dyDescent="0.25">
      <c r="L859" s="94"/>
      <c r="M859" s="86"/>
      <c r="N859" s="158"/>
      <c r="O859" s="86"/>
      <c r="P859" s="174"/>
      <c r="Q859" s="121"/>
      <c r="R859" s="122"/>
      <c r="S859" s="76"/>
    </row>
    <row r="860" spans="12:19" x14ac:dyDescent="0.25">
      <c r="L860" s="94"/>
      <c r="M860" s="86"/>
      <c r="N860" s="158"/>
      <c r="O860" s="86"/>
      <c r="P860" s="174"/>
      <c r="Q860" s="121"/>
      <c r="R860" s="122"/>
      <c r="S860" s="76"/>
    </row>
    <row r="861" spans="12:19" x14ac:dyDescent="0.25">
      <c r="L861" s="94"/>
      <c r="M861" s="86"/>
      <c r="N861" s="158"/>
      <c r="O861" s="86"/>
      <c r="P861" s="174"/>
      <c r="Q861" s="121"/>
      <c r="R861" s="122"/>
      <c r="S861" s="76"/>
    </row>
    <row r="862" spans="12:19" x14ac:dyDescent="0.25">
      <c r="L862" s="94"/>
      <c r="M862" s="86"/>
      <c r="N862" s="158"/>
      <c r="O862" s="86"/>
      <c r="P862" s="174"/>
      <c r="Q862" s="121"/>
      <c r="R862" s="122"/>
      <c r="S862" s="76"/>
    </row>
    <row r="863" spans="12:19" x14ac:dyDescent="0.25">
      <c r="L863" s="94"/>
      <c r="M863" s="86"/>
      <c r="N863" s="158"/>
      <c r="O863" s="86"/>
      <c r="P863" s="174"/>
      <c r="Q863" s="121"/>
      <c r="R863" s="122"/>
      <c r="S863" s="76"/>
    </row>
    <row r="864" spans="12:19" x14ac:dyDescent="0.25">
      <c r="L864" s="94"/>
      <c r="M864" s="86"/>
      <c r="N864" s="158"/>
      <c r="O864" s="86"/>
      <c r="P864" s="174"/>
      <c r="Q864" s="121"/>
      <c r="R864" s="122"/>
      <c r="S864" s="76"/>
    </row>
    <row r="865" spans="12:19" x14ac:dyDescent="0.25">
      <c r="L865" s="94"/>
      <c r="M865" s="86"/>
      <c r="N865" s="158"/>
      <c r="O865" s="86"/>
      <c r="P865" s="174"/>
      <c r="Q865" s="121"/>
      <c r="R865" s="122"/>
      <c r="S865" s="76"/>
    </row>
    <row r="866" spans="12:19" x14ac:dyDescent="0.25">
      <c r="L866" s="94"/>
      <c r="M866" s="86"/>
      <c r="N866" s="158"/>
      <c r="O866" s="86"/>
      <c r="P866" s="174"/>
      <c r="Q866" s="121"/>
      <c r="R866" s="122"/>
      <c r="S866" s="76"/>
    </row>
    <row r="867" spans="12:19" x14ac:dyDescent="0.25">
      <c r="L867" s="94"/>
      <c r="M867" s="86"/>
      <c r="N867" s="158"/>
      <c r="O867" s="86"/>
      <c r="P867" s="174"/>
      <c r="Q867" s="121"/>
      <c r="R867" s="122"/>
      <c r="S867" s="76"/>
    </row>
    <row r="868" spans="12:19" x14ac:dyDescent="0.25">
      <c r="L868" s="94"/>
      <c r="M868" s="86"/>
      <c r="N868" s="158"/>
      <c r="O868" s="86"/>
      <c r="P868" s="174"/>
      <c r="Q868" s="121"/>
      <c r="R868" s="122"/>
      <c r="S868" s="76"/>
    </row>
    <row r="869" spans="12:19" x14ac:dyDescent="0.25">
      <c r="L869" s="94"/>
      <c r="M869" s="86"/>
      <c r="N869" s="158"/>
      <c r="O869" s="86"/>
      <c r="P869" s="174"/>
      <c r="Q869" s="121"/>
      <c r="R869" s="122"/>
      <c r="S869" s="76"/>
    </row>
    <row r="870" spans="12:19" x14ac:dyDescent="0.25">
      <c r="L870" s="94"/>
      <c r="M870" s="86"/>
      <c r="N870" s="158"/>
      <c r="O870" s="86"/>
      <c r="P870" s="174"/>
      <c r="Q870" s="121"/>
      <c r="R870" s="122"/>
      <c r="S870" s="76"/>
    </row>
    <row r="871" spans="12:19" x14ac:dyDescent="0.25">
      <c r="L871" s="94"/>
      <c r="M871" s="86"/>
      <c r="N871" s="158"/>
      <c r="O871" s="86"/>
      <c r="P871" s="174"/>
      <c r="Q871" s="121"/>
      <c r="R871" s="122"/>
      <c r="S871" s="76"/>
    </row>
    <row r="872" spans="12:19" x14ac:dyDescent="0.25">
      <c r="L872" s="94"/>
      <c r="M872" s="86"/>
      <c r="N872" s="158"/>
      <c r="O872" s="86"/>
      <c r="P872" s="174"/>
      <c r="Q872" s="121"/>
      <c r="R872" s="122"/>
      <c r="S872" s="76"/>
    </row>
    <row r="873" spans="12:19" x14ac:dyDescent="0.25">
      <c r="L873" s="94"/>
      <c r="M873" s="86"/>
      <c r="N873" s="158"/>
      <c r="O873" s="86"/>
      <c r="P873" s="174"/>
      <c r="Q873" s="121"/>
      <c r="R873" s="122"/>
      <c r="S873" s="76"/>
    </row>
    <row r="874" spans="12:19" x14ac:dyDescent="0.25">
      <c r="L874" s="94"/>
      <c r="M874" s="86"/>
      <c r="N874" s="158"/>
      <c r="O874" s="86"/>
      <c r="P874" s="174"/>
      <c r="Q874" s="121"/>
      <c r="R874" s="122"/>
      <c r="S874" s="76"/>
    </row>
    <row r="875" spans="12:19" x14ac:dyDescent="0.25">
      <c r="L875" s="94"/>
      <c r="M875" s="86"/>
      <c r="N875" s="158"/>
      <c r="O875" s="86"/>
      <c r="P875" s="174"/>
      <c r="Q875" s="121"/>
      <c r="R875" s="122"/>
      <c r="S875" s="76"/>
    </row>
    <row r="876" spans="12:19" x14ac:dyDescent="0.25">
      <c r="L876" s="94"/>
      <c r="M876" s="86"/>
      <c r="N876" s="158"/>
      <c r="O876" s="86"/>
      <c r="P876" s="174"/>
      <c r="Q876" s="121"/>
      <c r="R876" s="122"/>
      <c r="S876" s="76"/>
    </row>
    <row r="877" spans="12:19" x14ac:dyDescent="0.25">
      <c r="L877" s="94"/>
      <c r="M877" s="86"/>
      <c r="N877" s="158"/>
      <c r="O877" s="86"/>
      <c r="P877" s="174"/>
      <c r="Q877" s="121"/>
      <c r="R877" s="122"/>
      <c r="S877" s="76"/>
    </row>
    <row r="878" spans="12:19" x14ac:dyDescent="0.25">
      <c r="L878" s="94"/>
      <c r="M878" s="86"/>
      <c r="N878" s="158"/>
      <c r="O878" s="86"/>
      <c r="P878" s="174"/>
      <c r="Q878" s="121"/>
      <c r="R878" s="122"/>
      <c r="S878" s="76"/>
    </row>
    <row r="879" spans="12:19" x14ac:dyDescent="0.25">
      <c r="L879" s="94"/>
      <c r="M879" s="86"/>
      <c r="N879" s="158"/>
      <c r="O879" s="86"/>
      <c r="P879" s="174"/>
      <c r="Q879" s="121"/>
      <c r="R879" s="122"/>
      <c r="S879" s="76"/>
    </row>
    <row r="880" spans="12:19" x14ac:dyDescent="0.25">
      <c r="L880" s="94"/>
      <c r="M880" s="86"/>
      <c r="N880" s="158"/>
      <c r="O880" s="86"/>
      <c r="P880" s="174"/>
      <c r="Q880" s="121"/>
      <c r="R880" s="122"/>
      <c r="S880" s="76"/>
    </row>
    <row r="881" spans="12:19" x14ac:dyDescent="0.25">
      <c r="L881" s="94"/>
      <c r="M881" s="86"/>
      <c r="N881" s="158"/>
      <c r="O881" s="86"/>
      <c r="P881" s="174"/>
      <c r="Q881" s="121"/>
      <c r="R881" s="122"/>
      <c r="S881" s="76"/>
    </row>
    <row r="882" spans="12:19" x14ac:dyDescent="0.25">
      <c r="L882" s="94"/>
      <c r="M882" s="86"/>
      <c r="N882" s="158"/>
      <c r="O882" s="86"/>
      <c r="P882" s="174"/>
      <c r="Q882" s="121"/>
      <c r="R882" s="122"/>
      <c r="S882" s="76"/>
    </row>
    <row r="883" spans="12:19" x14ac:dyDescent="0.25">
      <c r="L883" s="94"/>
      <c r="M883" s="86"/>
      <c r="N883" s="158"/>
      <c r="O883" s="86"/>
      <c r="P883" s="174"/>
      <c r="Q883" s="121"/>
      <c r="R883" s="122"/>
      <c r="S883" s="76"/>
    </row>
    <row r="884" spans="12:19" x14ac:dyDescent="0.25">
      <c r="L884" s="94"/>
      <c r="M884" s="86"/>
      <c r="N884" s="158"/>
      <c r="O884" s="86"/>
      <c r="P884" s="174"/>
      <c r="Q884" s="121"/>
      <c r="R884" s="122"/>
      <c r="S884" s="76"/>
    </row>
    <row r="885" spans="12:19" x14ac:dyDescent="0.25">
      <c r="L885" s="94"/>
      <c r="M885" s="86"/>
      <c r="N885" s="158"/>
      <c r="O885" s="86"/>
      <c r="P885" s="174"/>
      <c r="Q885" s="121"/>
      <c r="R885" s="122"/>
      <c r="S885" s="76"/>
    </row>
    <row r="886" spans="12:19" x14ac:dyDescent="0.25">
      <c r="L886" s="94"/>
      <c r="M886" s="86"/>
      <c r="N886" s="158"/>
      <c r="O886" s="86"/>
      <c r="P886" s="174"/>
      <c r="Q886" s="121"/>
      <c r="R886" s="122"/>
      <c r="S886" s="76"/>
    </row>
    <row r="887" spans="12:19" x14ac:dyDescent="0.25">
      <c r="L887" s="94"/>
      <c r="M887" s="86"/>
      <c r="N887" s="158"/>
      <c r="O887" s="86"/>
      <c r="P887" s="174"/>
      <c r="Q887" s="121"/>
      <c r="R887" s="122"/>
      <c r="S887" s="76"/>
    </row>
    <row r="888" spans="12:19" x14ac:dyDescent="0.25">
      <c r="L888" s="94"/>
      <c r="M888" s="86"/>
      <c r="N888" s="158"/>
      <c r="O888" s="86"/>
      <c r="P888" s="174"/>
      <c r="Q888" s="121"/>
      <c r="R888" s="122"/>
      <c r="S888" s="76"/>
    </row>
    <row r="889" spans="12:19" x14ac:dyDescent="0.25">
      <c r="L889" s="94"/>
      <c r="M889" s="86"/>
      <c r="N889" s="158"/>
      <c r="O889" s="86"/>
      <c r="P889" s="174"/>
      <c r="Q889" s="121"/>
      <c r="R889" s="122"/>
      <c r="S889" s="76"/>
    </row>
    <row r="890" spans="12:19" x14ac:dyDescent="0.25">
      <c r="L890" s="94"/>
      <c r="M890" s="86"/>
      <c r="N890" s="158"/>
      <c r="O890" s="86"/>
      <c r="P890" s="174"/>
      <c r="Q890" s="121"/>
      <c r="R890" s="122"/>
      <c r="S890" s="76"/>
    </row>
    <row r="891" spans="12:19" x14ac:dyDescent="0.25">
      <c r="L891" s="94"/>
      <c r="M891" s="86"/>
      <c r="N891" s="158"/>
      <c r="O891" s="86"/>
      <c r="P891" s="174"/>
      <c r="Q891" s="121"/>
      <c r="R891" s="122"/>
      <c r="S891" s="76"/>
    </row>
    <row r="892" spans="12:19" x14ac:dyDescent="0.25">
      <c r="L892" s="94"/>
      <c r="M892" s="86"/>
      <c r="N892" s="158"/>
      <c r="O892" s="86"/>
      <c r="P892" s="174"/>
      <c r="Q892" s="121"/>
      <c r="R892" s="122"/>
      <c r="S892" s="76"/>
    </row>
    <row r="893" spans="12:19" x14ac:dyDescent="0.25">
      <c r="L893" s="94"/>
      <c r="M893" s="86"/>
      <c r="N893" s="158"/>
      <c r="O893" s="86"/>
      <c r="P893" s="174"/>
      <c r="Q893" s="121"/>
      <c r="R893" s="122"/>
      <c r="S893" s="76"/>
    </row>
    <row r="894" spans="12:19" x14ac:dyDescent="0.25">
      <c r="L894" s="94"/>
      <c r="M894" s="86"/>
      <c r="N894" s="158"/>
      <c r="O894" s="86"/>
      <c r="P894" s="174"/>
      <c r="Q894" s="121"/>
      <c r="R894" s="122"/>
      <c r="S894" s="76"/>
    </row>
    <row r="895" spans="12:19" x14ac:dyDescent="0.25">
      <c r="L895" s="94"/>
      <c r="M895" s="86"/>
      <c r="N895" s="158"/>
      <c r="O895" s="86"/>
      <c r="P895" s="174"/>
      <c r="Q895" s="121"/>
      <c r="R895" s="122"/>
      <c r="S895" s="76"/>
    </row>
    <row r="896" spans="12:19" x14ac:dyDescent="0.25">
      <c r="L896" s="94"/>
      <c r="M896" s="86"/>
      <c r="N896" s="158"/>
      <c r="O896" s="86"/>
      <c r="P896" s="174"/>
      <c r="Q896" s="121"/>
      <c r="R896" s="122"/>
      <c r="S896" s="76"/>
    </row>
    <row r="897" spans="12:19" x14ac:dyDescent="0.25">
      <c r="L897" s="94"/>
      <c r="M897" s="86"/>
      <c r="N897" s="158"/>
      <c r="O897" s="86"/>
      <c r="P897" s="174"/>
      <c r="Q897" s="121"/>
      <c r="R897" s="122"/>
      <c r="S897" s="76"/>
    </row>
    <row r="898" spans="12:19" x14ac:dyDescent="0.25">
      <c r="L898" s="94"/>
      <c r="M898" s="86"/>
      <c r="N898" s="158"/>
      <c r="O898" s="86"/>
      <c r="P898" s="174"/>
      <c r="Q898" s="121"/>
      <c r="R898" s="122"/>
      <c r="S898" s="76"/>
    </row>
    <row r="899" spans="12:19" x14ac:dyDescent="0.25">
      <c r="L899" s="94"/>
      <c r="M899" s="86"/>
      <c r="N899" s="158"/>
      <c r="O899" s="86"/>
      <c r="P899" s="174"/>
      <c r="Q899" s="121"/>
      <c r="R899" s="122"/>
      <c r="S899" s="76"/>
    </row>
    <row r="900" spans="12:19" x14ac:dyDescent="0.25">
      <c r="L900" s="94"/>
      <c r="M900" s="86"/>
      <c r="N900" s="158"/>
      <c r="O900" s="86"/>
      <c r="P900" s="174"/>
      <c r="Q900" s="121"/>
      <c r="R900" s="122"/>
      <c r="S900" s="76"/>
    </row>
    <row r="901" spans="12:19" x14ac:dyDescent="0.25">
      <c r="L901" s="94"/>
      <c r="M901" s="86"/>
      <c r="N901" s="158"/>
      <c r="O901" s="86"/>
      <c r="P901" s="174"/>
      <c r="Q901" s="121"/>
      <c r="R901" s="122"/>
      <c r="S901" s="76"/>
    </row>
    <row r="902" spans="12:19" x14ac:dyDescent="0.25">
      <c r="L902" s="94"/>
      <c r="M902" s="86"/>
      <c r="N902" s="158"/>
      <c r="O902" s="86"/>
      <c r="P902" s="174"/>
      <c r="Q902" s="121"/>
      <c r="R902" s="122"/>
      <c r="S902" s="76"/>
    </row>
    <row r="903" spans="12:19" x14ac:dyDescent="0.25">
      <c r="L903" s="94"/>
      <c r="M903" s="86"/>
      <c r="N903" s="158"/>
      <c r="O903" s="86"/>
      <c r="P903" s="174"/>
      <c r="Q903" s="121"/>
      <c r="R903" s="122"/>
      <c r="S903" s="76"/>
    </row>
    <row r="904" spans="12:19" x14ac:dyDescent="0.25">
      <c r="L904" s="94"/>
      <c r="M904" s="86"/>
      <c r="N904" s="158"/>
      <c r="O904" s="86"/>
      <c r="P904" s="174"/>
      <c r="Q904" s="121"/>
      <c r="R904" s="122"/>
      <c r="S904" s="76"/>
    </row>
    <row r="905" spans="12:19" x14ac:dyDescent="0.25">
      <c r="L905" s="94"/>
      <c r="M905" s="86"/>
      <c r="N905" s="158"/>
      <c r="O905" s="86"/>
      <c r="P905" s="174"/>
      <c r="Q905" s="121"/>
      <c r="R905" s="122"/>
      <c r="S905" s="76"/>
    </row>
    <row r="906" spans="12:19" x14ac:dyDescent="0.25">
      <c r="L906" s="94"/>
      <c r="M906" s="86"/>
      <c r="N906" s="158"/>
      <c r="O906" s="86"/>
      <c r="P906" s="174"/>
      <c r="Q906" s="121"/>
      <c r="R906" s="122"/>
      <c r="S906" s="76"/>
    </row>
    <row r="907" spans="12:19" x14ac:dyDescent="0.25">
      <c r="L907" s="94"/>
      <c r="M907" s="86"/>
      <c r="N907" s="158"/>
      <c r="O907" s="86"/>
      <c r="P907" s="174"/>
      <c r="Q907" s="121"/>
      <c r="R907" s="122"/>
      <c r="S907" s="76"/>
    </row>
    <row r="908" spans="12:19" x14ac:dyDescent="0.25">
      <c r="L908" s="94"/>
      <c r="M908" s="86"/>
      <c r="N908" s="158"/>
      <c r="O908" s="86"/>
      <c r="P908" s="174"/>
      <c r="Q908" s="121"/>
      <c r="R908" s="122"/>
      <c r="S908" s="76"/>
    </row>
    <row r="909" spans="12:19" x14ac:dyDescent="0.25">
      <c r="L909" s="94"/>
      <c r="M909" s="86"/>
      <c r="N909" s="158"/>
      <c r="O909" s="86"/>
      <c r="P909" s="174"/>
      <c r="Q909" s="121"/>
      <c r="R909" s="122"/>
      <c r="S909" s="76"/>
    </row>
    <row r="910" spans="12:19" x14ac:dyDescent="0.25">
      <c r="L910" s="94"/>
      <c r="M910" s="86"/>
      <c r="N910" s="158"/>
      <c r="O910" s="86"/>
      <c r="P910" s="174"/>
      <c r="Q910" s="121"/>
      <c r="R910" s="122"/>
      <c r="S910" s="76"/>
    </row>
    <row r="911" spans="12:19" x14ac:dyDescent="0.25">
      <c r="L911" s="94"/>
      <c r="M911" s="86"/>
      <c r="N911" s="158"/>
      <c r="O911" s="86"/>
      <c r="P911" s="174"/>
      <c r="Q911" s="121"/>
      <c r="R911" s="122"/>
      <c r="S911" s="76"/>
    </row>
    <row r="912" spans="12:19" x14ac:dyDescent="0.25">
      <c r="L912" s="94"/>
      <c r="M912" s="86"/>
      <c r="N912" s="158"/>
      <c r="O912" s="86"/>
      <c r="P912" s="174"/>
      <c r="Q912" s="121"/>
      <c r="R912" s="122"/>
      <c r="S912" s="76"/>
    </row>
    <row r="913" spans="12:19" x14ac:dyDescent="0.25">
      <c r="L913" s="94"/>
      <c r="M913" s="86"/>
      <c r="N913" s="158"/>
      <c r="O913" s="86"/>
      <c r="P913" s="174"/>
      <c r="Q913" s="121"/>
      <c r="R913" s="122"/>
      <c r="S913" s="76"/>
    </row>
    <row r="914" spans="12:19" x14ac:dyDescent="0.25">
      <c r="L914" s="94"/>
      <c r="M914" s="86"/>
      <c r="N914" s="158"/>
      <c r="O914" s="86"/>
      <c r="P914" s="174"/>
      <c r="Q914" s="121"/>
      <c r="R914" s="122"/>
      <c r="S914" s="76"/>
    </row>
    <row r="915" spans="12:19" x14ac:dyDescent="0.25">
      <c r="L915" s="94"/>
      <c r="M915" s="86"/>
      <c r="N915" s="158"/>
      <c r="O915" s="86"/>
      <c r="P915" s="174"/>
      <c r="Q915" s="121"/>
      <c r="R915" s="122"/>
      <c r="S915" s="76"/>
    </row>
    <row r="916" spans="12:19" x14ac:dyDescent="0.25">
      <c r="L916" s="94"/>
      <c r="M916" s="86"/>
      <c r="N916" s="158"/>
      <c r="O916" s="86"/>
      <c r="P916" s="174"/>
      <c r="Q916" s="121"/>
      <c r="R916" s="122"/>
      <c r="S916" s="76"/>
    </row>
    <row r="917" spans="12:19" x14ac:dyDescent="0.25">
      <c r="L917" s="94"/>
      <c r="M917" s="86"/>
      <c r="N917" s="158"/>
      <c r="O917" s="86"/>
      <c r="P917" s="174"/>
      <c r="Q917" s="121"/>
      <c r="R917" s="122"/>
      <c r="S917" s="76"/>
    </row>
    <row r="918" spans="12:19" x14ac:dyDescent="0.25">
      <c r="L918" s="94"/>
      <c r="M918" s="86"/>
      <c r="N918" s="158"/>
      <c r="O918" s="86"/>
      <c r="P918" s="174"/>
      <c r="Q918" s="121"/>
      <c r="R918" s="122"/>
      <c r="S918" s="76"/>
    </row>
    <row r="919" spans="12:19" x14ac:dyDescent="0.25">
      <c r="L919" s="94"/>
      <c r="M919" s="86"/>
      <c r="N919" s="158"/>
      <c r="O919" s="86"/>
      <c r="P919" s="174"/>
      <c r="Q919" s="121"/>
      <c r="R919" s="122"/>
      <c r="S919" s="76"/>
    </row>
    <row r="920" spans="12:19" x14ac:dyDescent="0.25">
      <c r="L920" s="94"/>
      <c r="M920" s="86"/>
      <c r="N920" s="158"/>
      <c r="O920" s="86"/>
      <c r="P920" s="174"/>
      <c r="Q920" s="121"/>
      <c r="R920" s="122"/>
      <c r="S920" s="76"/>
    </row>
    <row r="921" spans="12:19" x14ac:dyDescent="0.25">
      <c r="L921" s="94"/>
      <c r="M921" s="86"/>
      <c r="N921" s="158"/>
      <c r="O921" s="86"/>
      <c r="P921" s="174"/>
      <c r="Q921" s="121"/>
      <c r="R921" s="122"/>
      <c r="S921" s="76"/>
    </row>
    <row r="922" spans="12:19" x14ac:dyDescent="0.25">
      <c r="L922" s="94"/>
      <c r="M922" s="86"/>
      <c r="N922" s="158"/>
      <c r="O922" s="86"/>
      <c r="P922" s="174"/>
      <c r="Q922" s="121"/>
      <c r="R922" s="122"/>
      <c r="S922" s="76"/>
    </row>
    <row r="923" spans="12:19" x14ac:dyDescent="0.25">
      <c r="L923" s="94"/>
      <c r="M923" s="86"/>
      <c r="N923" s="158"/>
      <c r="O923" s="86"/>
      <c r="P923" s="174"/>
      <c r="Q923" s="121"/>
      <c r="R923" s="122"/>
      <c r="S923" s="76"/>
    </row>
    <row r="924" spans="12:19" x14ac:dyDescent="0.25">
      <c r="L924" s="94"/>
      <c r="M924" s="86"/>
      <c r="N924" s="158"/>
      <c r="O924" s="86"/>
      <c r="P924" s="174"/>
      <c r="Q924" s="121"/>
      <c r="R924" s="122"/>
      <c r="S924" s="76"/>
    </row>
    <row r="925" spans="12:19" x14ac:dyDescent="0.25">
      <c r="L925" s="94"/>
      <c r="M925" s="86"/>
      <c r="N925" s="158"/>
      <c r="O925" s="86"/>
      <c r="P925" s="174"/>
      <c r="Q925" s="121"/>
      <c r="R925" s="122"/>
      <c r="S925" s="76"/>
    </row>
    <row r="926" spans="12:19" x14ac:dyDescent="0.25">
      <c r="L926" s="94"/>
      <c r="M926" s="86"/>
      <c r="N926" s="158"/>
      <c r="O926" s="86"/>
      <c r="P926" s="174"/>
      <c r="Q926" s="121"/>
      <c r="R926" s="122"/>
      <c r="S926" s="76"/>
    </row>
    <row r="927" spans="12:19" x14ac:dyDescent="0.25">
      <c r="L927" s="94"/>
      <c r="M927" s="86"/>
      <c r="N927" s="158"/>
      <c r="O927" s="86"/>
      <c r="P927" s="174"/>
      <c r="Q927" s="121"/>
      <c r="R927" s="122"/>
      <c r="S927" s="76"/>
    </row>
    <row r="928" spans="12:19" x14ac:dyDescent="0.25">
      <c r="L928" s="94"/>
      <c r="M928" s="86"/>
      <c r="N928" s="158"/>
      <c r="O928" s="86"/>
      <c r="P928" s="174"/>
      <c r="Q928" s="121"/>
      <c r="R928" s="122"/>
      <c r="S928" s="76"/>
    </row>
    <row r="929" spans="12:19" x14ac:dyDescent="0.25">
      <c r="L929" s="94"/>
      <c r="M929" s="86"/>
      <c r="N929" s="158"/>
      <c r="O929" s="86"/>
      <c r="P929" s="174"/>
      <c r="Q929" s="121"/>
      <c r="R929" s="122"/>
      <c r="S929" s="76"/>
    </row>
    <row r="930" spans="12:19" x14ac:dyDescent="0.25">
      <c r="L930" s="94"/>
      <c r="M930" s="86"/>
      <c r="N930" s="158"/>
      <c r="O930" s="86"/>
      <c r="P930" s="174"/>
      <c r="Q930" s="121"/>
      <c r="R930" s="122"/>
      <c r="S930" s="76"/>
    </row>
    <row r="931" spans="12:19" x14ac:dyDescent="0.25">
      <c r="L931" s="94"/>
      <c r="M931" s="86"/>
      <c r="N931" s="158"/>
      <c r="O931" s="86"/>
      <c r="P931" s="174"/>
      <c r="Q931" s="121"/>
      <c r="R931" s="122"/>
      <c r="S931" s="76"/>
    </row>
    <row r="932" spans="12:19" x14ac:dyDescent="0.25">
      <c r="L932" s="94"/>
      <c r="M932" s="86"/>
      <c r="N932" s="158"/>
      <c r="O932" s="86"/>
      <c r="P932" s="174"/>
      <c r="Q932" s="121"/>
      <c r="R932" s="122"/>
      <c r="S932" s="76"/>
    </row>
    <row r="933" spans="12:19" x14ac:dyDescent="0.25">
      <c r="L933" s="94"/>
      <c r="M933" s="86"/>
      <c r="N933" s="158"/>
      <c r="O933" s="86"/>
      <c r="P933" s="174"/>
      <c r="Q933" s="121"/>
      <c r="R933" s="122"/>
      <c r="S933" s="76"/>
    </row>
    <row r="934" spans="12:19" x14ac:dyDescent="0.25">
      <c r="L934" s="94"/>
      <c r="M934" s="86"/>
      <c r="N934" s="158"/>
      <c r="O934" s="86"/>
      <c r="P934" s="174"/>
      <c r="Q934" s="121"/>
      <c r="R934" s="122"/>
      <c r="S934" s="76"/>
    </row>
    <row r="935" spans="12:19" x14ac:dyDescent="0.25">
      <c r="L935" s="94"/>
      <c r="M935" s="86"/>
      <c r="N935" s="158"/>
      <c r="O935" s="86"/>
      <c r="P935" s="174"/>
      <c r="Q935" s="121"/>
      <c r="R935" s="122"/>
      <c r="S935" s="76"/>
    </row>
    <row r="936" spans="12:19" x14ac:dyDescent="0.25">
      <c r="L936" s="94"/>
      <c r="M936" s="86"/>
      <c r="N936" s="158"/>
      <c r="O936" s="86"/>
      <c r="P936" s="174"/>
      <c r="Q936" s="121"/>
      <c r="R936" s="122"/>
      <c r="S936" s="76"/>
    </row>
    <row r="937" spans="12:19" x14ac:dyDescent="0.25">
      <c r="L937" s="94"/>
      <c r="M937" s="86"/>
      <c r="N937" s="158"/>
      <c r="O937" s="86"/>
      <c r="P937" s="174"/>
      <c r="Q937" s="121"/>
      <c r="R937" s="122"/>
      <c r="S937" s="76"/>
    </row>
    <row r="938" spans="12:19" x14ac:dyDescent="0.25">
      <c r="L938" s="94"/>
      <c r="M938" s="86"/>
      <c r="N938" s="158"/>
      <c r="O938" s="86"/>
      <c r="P938" s="174"/>
      <c r="Q938" s="121"/>
      <c r="R938" s="122"/>
      <c r="S938" s="76"/>
    </row>
    <row r="939" spans="12:19" x14ac:dyDescent="0.25">
      <c r="L939" s="94"/>
      <c r="M939" s="86"/>
      <c r="N939" s="158"/>
      <c r="O939" s="86"/>
      <c r="P939" s="174"/>
      <c r="Q939" s="121"/>
      <c r="R939" s="122"/>
      <c r="S939" s="76"/>
    </row>
    <row r="940" spans="12:19" x14ac:dyDescent="0.25">
      <c r="L940" s="94"/>
      <c r="M940" s="86"/>
      <c r="N940" s="158"/>
      <c r="O940" s="86"/>
      <c r="P940" s="174"/>
      <c r="Q940" s="121"/>
      <c r="R940" s="122"/>
      <c r="S940" s="76"/>
    </row>
    <row r="941" spans="12:19" x14ac:dyDescent="0.25">
      <c r="L941" s="94"/>
      <c r="M941" s="86"/>
      <c r="N941" s="158"/>
      <c r="O941" s="86"/>
      <c r="P941" s="174"/>
      <c r="Q941" s="121"/>
      <c r="R941" s="122"/>
      <c r="S941" s="76"/>
    </row>
    <row r="942" spans="12:19" x14ac:dyDescent="0.25">
      <c r="L942" s="94"/>
      <c r="M942" s="86"/>
      <c r="N942" s="158"/>
      <c r="O942" s="86"/>
      <c r="P942" s="174"/>
      <c r="Q942" s="121"/>
      <c r="R942" s="122"/>
      <c r="S942" s="76"/>
    </row>
    <row r="943" spans="12:19" x14ac:dyDescent="0.25">
      <c r="L943" s="94"/>
      <c r="M943" s="86"/>
      <c r="N943" s="158"/>
      <c r="O943" s="86"/>
      <c r="P943" s="174"/>
      <c r="Q943" s="121"/>
      <c r="R943" s="122"/>
      <c r="S943" s="76"/>
    </row>
    <row r="944" spans="12:19" x14ac:dyDescent="0.25">
      <c r="L944" s="94"/>
      <c r="M944" s="86"/>
      <c r="N944" s="158"/>
      <c r="O944" s="86"/>
      <c r="P944" s="174"/>
      <c r="Q944" s="121"/>
      <c r="R944" s="122"/>
      <c r="S944" s="76"/>
    </row>
    <row r="945" spans="12:19" x14ac:dyDescent="0.25">
      <c r="L945" s="94"/>
      <c r="M945" s="86"/>
      <c r="N945" s="158"/>
      <c r="O945" s="86"/>
      <c r="P945" s="174"/>
      <c r="Q945" s="121"/>
      <c r="R945" s="122"/>
      <c r="S945" s="76"/>
    </row>
    <row r="946" spans="12:19" x14ac:dyDescent="0.25">
      <c r="L946" s="94"/>
      <c r="M946" s="86"/>
      <c r="N946" s="158"/>
      <c r="O946" s="86"/>
      <c r="P946" s="174"/>
      <c r="Q946" s="121"/>
      <c r="R946" s="122"/>
      <c r="S946" s="76"/>
    </row>
    <row r="947" spans="12:19" x14ac:dyDescent="0.25">
      <c r="L947" s="94"/>
      <c r="M947" s="86"/>
      <c r="N947" s="158"/>
      <c r="O947" s="86"/>
      <c r="P947" s="174"/>
      <c r="Q947" s="121"/>
      <c r="R947" s="122"/>
      <c r="S947" s="76"/>
    </row>
    <row r="948" spans="12:19" x14ac:dyDescent="0.25">
      <c r="L948" s="94"/>
      <c r="M948" s="86"/>
      <c r="N948" s="158"/>
      <c r="O948" s="86"/>
      <c r="P948" s="174"/>
      <c r="Q948" s="121"/>
      <c r="R948" s="122"/>
      <c r="S948" s="76"/>
    </row>
    <row r="949" spans="12:19" x14ac:dyDescent="0.25">
      <c r="L949" s="94"/>
      <c r="M949" s="86"/>
      <c r="N949" s="158"/>
      <c r="O949" s="86"/>
      <c r="P949" s="174"/>
      <c r="Q949" s="121"/>
      <c r="R949" s="122"/>
      <c r="S949" s="76"/>
    </row>
    <row r="950" spans="12:19" x14ac:dyDescent="0.25">
      <c r="L950" s="94"/>
      <c r="M950" s="86"/>
      <c r="N950" s="158"/>
      <c r="O950" s="86"/>
      <c r="P950" s="174"/>
      <c r="Q950" s="121"/>
      <c r="R950" s="122"/>
      <c r="S950" s="76"/>
    </row>
    <row r="951" spans="12:19" x14ac:dyDescent="0.25">
      <c r="L951" s="94"/>
      <c r="M951" s="86"/>
      <c r="N951" s="158"/>
      <c r="O951" s="86"/>
      <c r="P951" s="174"/>
      <c r="Q951" s="121"/>
      <c r="R951" s="122"/>
      <c r="S951" s="76"/>
    </row>
    <row r="952" spans="12:19" x14ac:dyDescent="0.25">
      <c r="L952" s="94"/>
      <c r="M952" s="86"/>
      <c r="N952" s="158"/>
      <c r="O952" s="86"/>
      <c r="P952" s="174"/>
      <c r="Q952" s="121"/>
      <c r="R952" s="122"/>
      <c r="S952" s="76"/>
    </row>
    <row r="953" spans="12:19" x14ac:dyDescent="0.25">
      <c r="L953" s="94"/>
      <c r="M953" s="86"/>
      <c r="N953" s="158"/>
      <c r="O953" s="86"/>
      <c r="P953" s="174"/>
      <c r="Q953" s="121"/>
      <c r="R953" s="122"/>
      <c r="S953" s="76"/>
    </row>
    <row r="954" spans="12:19" x14ac:dyDescent="0.25">
      <c r="L954" s="94"/>
      <c r="M954" s="86"/>
      <c r="N954" s="158"/>
      <c r="O954" s="86"/>
      <c r="P954" s="174"/>
      <c r="Q954" s="121"/>
      <c r="R954" s="122"/>
      <c r="S954" s="76"/>
    </row>
    <row r="955" spans="12:19" x14ac:dyDescent="0.25">
      <c r="L955" s="94"/>
      <c r="M955" s="86"/>
      <c r="N955" s="158"/>
      <c r="O955" s="86"/>
      <c r="P955" s="174"/>
      <c r="Q955" s="121"/>
      <c r="R955" s="122"/>
      <c r="S955" s="76"/>
    </row>
    <row r="956" spans="12:19" x14ac:dyDescent="0.25">
      <c r="L956" s="94"/>
      <c r="M956" s="86"/>
      <c r="N956" s="158"/>
      <c r="O956" s="86"/>
      <c r="P956" s="174"/>
      <c r="Q956" s="121"/>
      <c r="R956" s="122"/>
      <c r="S956" s="76"/>
    </row>
    <row r="957" spans="12:19" x14ac:dyDescent="0.25">
      <c r="L957" s="94"/>
      <c r="M957" s="86"/>
      <c r="N957" s="158"/>
      <c r="O957" s="86"/>
      <c r="P957" s="174"/>
      <c r="Q957" s="121"/>
      <c r="R957" s="122"/>
      <c r="S957" s="76"/>
    </row>
    <row r="958" spans="12:19" x14ac:dyDescent="0.25">
      <c r="L958" s="94"/>
      <c r="M958" s="86"/>
      <c r="N958" s="158"/>
      <c r="O958" s="86"/>
      <c r="P958" s="174"/>
      <c r="Q958" s="121"/>
      <c r="R958" s="122"/>
      <c r="S958" s="76"/>
    </row>
    <row r="959" spans="12:19" x14ac:dyDescent="0.25">
      <c r="L959" s="94"/>
      <c r="M959" s="86"/>
      <c r="N959" s="158"/>
      <c r="O959" s="86"/>
      <c r="P959" s="174"/>
      <c r="Q959" s="121"/>
      <c r="R959" s="122"/>
      <c r="S959" s="76"/>
    </row>
    <row r="960" spans="12:19" x14ac:dyDescent="0.25">
      <c r="L960" s="94"/>
      <c r="M960" s="86"/>
      <c r="N960" s="158"/>
      <c r="O960" s="86"/>
      <c r="P960" s="174"/>
      <c r="Q960" s="121"/>
      <c r="R960" s="122"/>
      <c r="S960" s="76"/>
    </row>
    <row r="961" spans="12:19" x14ac:dyDescent="0.25">
      <c r="L961" s="94"/>
      <c r="M961" s="86"/>
      <c r="N961" s="158"/>
      <c r="O961" s="86"/>
      <c r="P961" s="174"/>
      <c r="Q961" s="121"/>
      <c r="R961" s="122"/>
      <c r="S961" s="76"/>
    </row>
    <row r="962" spans="12:19" x14ac:dyDescent="0.25">
      <c r="L962" s="94"/>
      <c r="M962" s="86"/>
      <c r="N962" s="158"/>
      <c r="O962" s="86"/>
      <c r="P962" s="174"/>
      <c r="Q962" s="121"/>
      <c r="R962" s="122"/>
      <c r="S962" s="76"/>
    </row>
    <row r="963" spans="12:19" x14ac:dyDescent="0.25">
      <c r="L963" s="94"/>
      <c r="M963" s="86"/>
      <c r="N963" s="158"/>
      <c r="O963" s="86"/>
      <c r="P963" s="174"/>
      <c r="Q963" s="121"/>
      <c r="R963" s="122"/>
      <c r="S963" s="76"/>
    </row>
    <row r="964" spans="12:19" x14ac:dyDescent="0.25">
      <c r="L964" s="94"/>
      <c r="M964" s="86"/>
      <c r="N964" s="158"/>
      <c r="O964" s="86"/>
      <c r="P964" s="174"/>
      <c r="Q964" s="121"/>
      <c r="R964" s="122"/>
      <c r="S964" s="76"/>
    </row>
    <row r="965" spans="12:19" x14ac:dyDescent="0.25">
      <c r="L965" s="94"/>
      <c r="M965" s="86"/>
      <c r="N965" s="158"/>
      <c r="O965" s="86"/>
      <c r="P965" s="174"/>
      <c r="Q965" s="121"/>
      <c r="R965" s="122"/>
      <c r="S965" s="76"/>
    </row>
    <row r="966" spans="12:19" x14ac:dyDescent="0.25">
      <c r="L966" s="94"/>
      <c r="M966" s="86"/>
      <c r="N966" s="158"/>
      <c r="O966" s="86"/>
      <c r="P966" s="174"/>
      <c r="Q966" s="121"/>
      <c r="R966" s="122"/>
      <c r="S966" s="76"/>
    </row>
    <row r="967" spans="12:19" x14ac:dyDescent="0.25">
      <c r="L967" s="94"/>
      <c r="M967" s="86"/>
      <c r="N967" s="158"/>
      <c r="O967" s="86"/>
      <c r="P967" s="174"/>
      <c r="Q967" s="121"/>
      <c r="R967" s="122"/>
      <c r="S967" s="76"/>
    </row>
    <row r="968" spans="12:19" x14ac:dyDescent="0.25">
      <c r="L968" s="94"/>
      <c r="M968" s="86"/>
      <c r="N968" s="158"/>
      <c r="O968" s="86"/>
      <c r="P968" s="174"/>
      <c r="Q968" s="121"/>
      <c r="R968" s="122"/>
      <c r="S968" s="76"/>
    </row>
    <row r="969" spans="12:19" x14ac:dyDescent="0.25">
      <c r="L969" s="94"/>
      <c r="M969" s="86"/>
      <c r="N969" s="158"/>
      <c r="O969" s="86"/>
      <c r="P969" s="174"/>
      <c r="Q969" s="121"/>
      <c r="R969" s="122"/>
      <c r="S969" s="76"/>
    </row>
    <row r="970" spans="12:19" x14ac:dyDescent="0.25">
      <c r="L970" s="94"/>
      <c r="M970" s="86"/>
      <c r="N970" s="158"/>
      <c r="O970" s="86"/>
      <c r="P970" s="174"/>
      <c r="Q970" s="121"/>
      <c r="R970" s="122"/>
      <c r="S970" s="76"/>
    </row>
    <row r="971" spans="12:19" x14ac:dyDescent="0.25">
      <c r="L971" s="94"/>
      <c r="M971" s="86"/>
      <c r="N971" s="158"/>
      <c r="O971" s="86"/>
      <c r="P971" s="174"/>
      <c r="Q971" s="121"/>
      <c r="R971" s="122"/>
      <c r="S971" s="76"/>
    </row>
    <row r="972" spans="12:19" x14ac:dyDescent="0.25">
      <c r="L972" s="94"/>
      <c r="M972" s="86"/>
      <c r="N972" s="158"/>
      <c r="O972" s="86"/>
      <c r="P972" s="174"/>
      <c r="Q972" s="121"/>
      <c r="R972" s="122"/>
      <c r="S972" s="76"/>
    </row>
    <row r="973" spans="12:19" x14ac:dyDescent="0.25">
      <c r="L973" s="94"/>
      <c r="M973" s="86"/>
      <c r="N973" s="158"/>
      <c r="O973" s="86"/>
      <c r="P973" s="174"/>
      <c r="Q973" s="121"/>
      <c r="R973" s="122"/>
      <c r="S973" s="76"/>
    </row>
    <row r="974" spans="12:19" x14ac:dyDescent="0.25">
      <c r="L974" s="94"/>
      <c r="M974" s="86"/>
      <c r="N974" s="158"/>
      <c r="O974" s="86"/>
      <c r="P974" s="174"/>
      <c r="Q974" s="121"/>
      <c r="R974" s="122"/>
      <c r="S974" s="76"/>
    </row>
    <row r="975" spans="12:19" x14ac:dyDescent="0.25">
      <c r="L975" s="94"/>
      <c r="M975" s="86"/>
      <c r="N975" s="158"/>
      <c r="O975" s="86"/>
      <c r="P975" s="174"/>
      <c r="Q975" s="121"/>
      <c r="R975" s="122"/>
      <c r="S975" s="76"/>
    </row>
    <row r="976" spans="12:19" x14ac:dyDescent="0.25">
      <c r="L976" s="94"/>
      <c r="M976" s="86"/>
      <c r="N976" s="158"/>
      <c r="O976" s="86"/>
      <c r="P976" s="174"/>
      <c r="Q976" s="121"/>
      <c r="R976" s="122"/>
      <c r="S976" s="76"/>
    </row>
    <row r="977" spans="12:19" x14ac:dyDescent="0.25">
      <c r="L977" s="94"/>
      <c r="M977" s="86"/>
      <c r="N977" s="158"/>
      <c r="O977" s="86"/>
      <c r="P977" s="174"/>
      <c r="Q977" s="121"/>
      <c r="R977" s="122"/>
      <c r="S977" s="76"/>
    </row>
    <row r="978" spans="12:19" x14ac:dyDescent="0.25">
      <c r="L978" s="94"/>
      <c r="M978" s="86"/>
      <c r="N978" s="158"/>
      <c r="O978" s="86"/>
      <c r="P978" s="174"/>
      <c r="Q978" s="121"/>
      <c r="R978" s="122"/>
      <c r="S978" s="76"/>
    </row>
    <row r="979" spans="12:19" x14ac:dyDescent="0.25">
      <c r="L979" s="94"/>
      <c r="M979" s="86"/>
      <c r="N979" s="158"/>
      <c r="O979" s="86"/>
      <c r="P979" s="174"/>
      <c r="Q979" s="121"/>
      <c r="R979" s="122"/>
      <c r="S979" s="76"/>
    </row>
    <row r="980" spans="12:19" x14ac:dyDescent="0.25">
      <c r="L980" s="94"/>
      <c r="M980" s="86"/>
      <c r="N980" s="158"/>
      <c r="O980" s="86"/>
      <c r="P980" s="174"/>
      <c r="Q980" s="121"/>
      <c r="R980" s="122"/>
      <c r="S980" s="76"/>
    </row>
    <row r="981" spans="12:19" x14ac:dyDescent="0.25">
      <c r="L981" s="94"/>
      <c r="M981" s="86"/>
      <c r="N981" s="158"/>
      <c r="O981" s="86"/>
      <c r="P981" s="174"/>
      <c r="Q981" s="121"/>
      <c r="R981" s="122"/>
      <c r="S981" s="76"/>
    </row>
    <row r="982" spans="12:19" x14ac:dyDescent="0.25">
      <c r="L982" s="94"/>
      <c r="M982" s="86"/>
      <c r="N982" s="158"/>
      <c r="O982" s="86"/>
      <c r="P982" s="174"/>
      <c r="Q982" s="121"/>
      <c r="R982" s="122"/>
      <c r="S982" s="76"/>
    </row>
    <row r="983" spans="12:19" x14ac:dyDescent="0.25">
      <c r="L983" s="94"/>
      <c r="M983" s="86"/>
      <c r="N983" s="158"/>
      <c r="O983" s="86"/>
      <c r="P983" s="174"/>
      <c r="Q983" s="121"/>
      <c r="R983" s="122"/>
      <c r="S983" s="76"/>
    </row>
    <row r="984" spans="12:19" x14ac:dyDescent="0.25">
      <c r="L984" s="94"/>
      <c r="M984" s="86"/>
      <c r="N984" s="158"/>
      <c r="O984" s="86"/>
      <c r="P984" s="174"/>
      <c r="Q984" s="121"/>
      <c r="R984" s="122"/>
      <c r="S984" s="76"/>
    </row>
    <row r="985" spans="12:19" x14ac:dyDescent="0.25">
      <c r="L985" s="94"/>
      <c r="M985" s="86"/>
      <c r="N985" s="158"/>
      <c r="O985" s="86"/>
      <c r="P985" s="174"/>
      <c r="Q985" s="121"/>
      <c r="R985" s="122"/>
      <c r="S985" s="76"/>
    </row>
    <row r="986" spans="12:19" x14ac:dyDescent="0.25">
      <c r="L986" s="94"/>
      <c r="M986" s="86"/>
      <c r="N986" s="158"/>
      <c r="O986" s="86"/>
      <c r="P986" s="174"/>
      <c r="Q986" s="121"/>
      <c r="R986" s="122"/>
      <c r="S986" s="76"/>
    </row>
    <row r="987" spans="12:19" x14ac:dyDescent="0.25">
      <c r="L987" s="94"/>
      <c r="M987" s="86"/>
      <c r="N987" s="158"/>
      <c r="O987" s="86"/>
      <c r="P987" s="174"/>
      <c r="Q987" s="121"/>
      <c r="R987" s="122"/>
      <c r="S987" s="76"/>
    </row>
    <row r="988" spans="12:19" x14ac:dyDescent="0.25">
      <c r="L988" s="94"/>
      <c r="M988" s="86"/>
      <c r="N988" s="158"/>
      <c r="O988" s="86"/>
      <c r="P988" s="174"/>
      <c r="Q988" s="121"/>
      <c r="R988" s="122"/>
      <c r="S988" s="76"/>
    </row>
    <row r="989" spans="12:19" x14ac:dyDescent="0.25">
      <c r="L989" s="94"/>
      <c r="M989" s="86"/>
      <c r="N989" s="158"/>
      <c r="O989" s="86"/>
      <c r="P989" s="174"/>
      <c r="Q989" s="121"/>
      <c r="R989" s="122"/>
      <c r="S989" s="76"/>
    </row>
    <row r="990" spans="12:19" x14ac:dyDescent="0.25">
      <c r="L990" s="94"/>
      <c r="M990" s="86"/>
      <c r="N990" s="158"/>
      <c r="O990" s="86"/>
      <c r="P990" s="174"/>
      <c r="Q990" s="121"/>
      <c r="R990" s="122"/>
      <c r="S990" s="76"/>
    </row>
    <row r="991" spans="12:19" x14ac:dyDescent="0.25">
      <c r="L991" s="94"/>
      <c r="M991" s="86"/>
      <c r="N991" s="158"/>
      <c r="O991" s="86"/>
      <c r="P991" s="174"/>
      <c r="Q991" s="121"/>
      <c r="R991" s="122"/>
      <c r="S991" s="76"/>
    </row>
    <row r="992" spans="12:19" x14ac:dyDescent="0.25">
      <c r="L992" s="94"/>
      <c r="M992" s="86"/>
      <c r="N992" s="158"/>
      <c r="O992" s="86"/>
      <c r="P992" s="174"/>
      <c r="Q992" s="121"/>
      <c r="R992" s="122"/>
      <c r="S992" s="76"/>
    </row>
    <row r="993" spans="12:19" x14ac:dyDescent="0.25">
      <c r="L993" s="94"/>
      <c r="M993" s="86"/>
      <c r="N993" s="158"/>
      <c r="O993" s="86"/>
      <c r="P993" s="174"/>
      <c r="Q993" s="121"/>
      <c r="R993" s="122"/>
      <c r="S993" s="76"/>
    </row>
    <row r="994" spans="12:19" x14ac:dyDescent="0.25">
      <c r="L994" s="94"/>
      <c r="M994" s="86"/>
      <c r="N994" s="158"/>
      <c r="O994" s="86"/>
      <c r="P994" s="174"/>
      <c r="Q994" s="121"/>
      <c r="R994" s="122"/>
      <c r="S994" s="76"/>
    </row>
    <row r="995" spans="12:19" x14ac:dyDescent="0.25">
      <c r="L995" s="94"/>
      <c r="M995" s="86"/>
      <c r="N995" s="158"/>
      <c r="O995" s="86"/>
      <c r="P995" s="174"/>
      <c r="Q995" s="121"/>
      <c r="R995" s="122"/>
      <c r="S995" s="76"/>
    </row>
    <row r="996" spans="12:19" x14ac:dyDescent="0.25">
      <c r="L996" s="94"/>
      <c r="M996" s="86"/>
      <c r="N996" s="158"/>
      <c r="O996" s="86"/>
      <c r="P996" s="174"/>
      <c r="Q996" s="121"/>
      <c r="R996" s="122"/>
      <c r="S996" s="76"/>
    </row>
    <row r="997" spans="12:19" x14ac:dyDescent="0.25">
      <c r="L997" s="94"/>
      <c r="M997" s="86"/>
      <c r="N997" s="158"/>
      <c r="O997" s="86"/>
      <c r="P997" s="174"/>
      <c r="Q997" s="121"/>
      <c r="R997" s="122"/>
      <c r="S997" s="76"/>
    </row>
    <row r="998" spans="12:19" x14ac:dyDescent="0.25">
      <c r="L998" s="94"/>
      <c r="M998" s="86"/>
      <c r="N998" s="158"/>
      <c r="O998" s="86"/>
      <c r="P998" s="174"/>
      <c r="Q998" s="121"/>
      <c r="R998" s="122"/>
      <c r="S998" s="76"/>
    </row>
    <row r="999" spans="12:19" x14ac:dyDescent="0.25">
      <c r="L999" s="94"/>
      <c r="M999" s="86"/>
      <c r="N999" s="158"/>
      <c r="O999" s="86"/>
      <c r="P999" s="174"/>
      <c r="Q999" s="121"/>
      <c r="R999" s="122"/>
      <c r="S999" s="76"/>
    </row>
    <row r="1000" spans="12:19" x14ac:dyDescent="0.25">
      <c r="L1000" s="94"/>
      <c r="M1000" s="86"/>
      <c r="N1000" s="158"/>
      <c r="O1000" s="86"/>
      <c r="P1000" s="174"/>
      <c r="Q1000" s="121"/>
      <c r="R1000" s="122"/>
      <c r="S1000" s="76"/>
    </row>
    <row r="1001" spans="12:19" x14ac:dyDescent="0.25">
      <c r="L1001" s="94"/>
      <c r="M1001" s="86"/>
      <c r="N1001" s="158"/>
      <c r="O1001" s="86"/>
      <c r="P1001" s="174"/>
      <c r="Q1001" s="121"/>
      <c r="R1001" s="122"/>
      <c r="S1001" s="76"/>
    </row>
    <row r="1002" spans="12:19" x14ac:dyDescent="0.25">
      <c r="L1002" s="94"/>
      <c r="M1002" s="86"/>
      <c r="N1002" s="158"/>
      <c r="O1002" s="86"/>
      <c r="P1002" s="174"/>
      <c r="Q1002" s="121"/>
      <c r="R1002" s="122"/>
      <c r="S1002" s="76"/>
    </row>
    <row r="1003" spans="12:19" x14ac:dyDescent="0.25">
      <c r="L1003" s="94"/>
      <c r="M1003" s="86"/>
      <c r="N1003" s="158"/>
      <c r="O1003" s="86"/>
      <c r="P1003" s="174"/>
      <c r="Q1003" s="121"/>
      <c r="R1003" s="122"/>
      <c r="S1003" s="76"/>
    </row>
    <row r="1004" spans="12:19" x14ac:dyDescent="0.25">
      <c r="L1004" s="94"/>
      <c r="M1004" s="86"/>
      <c r="N1004" s="158"/>
      <c r="O1004" s="86"/>
      <c r="P1004" s="174"/>
      <c r="Q1004" s="121"/>
      <c r="R1004" s="122"/>
      <c r="S1004" s="76"/>
    </row>
    <row r="1005" spans="12:19" x14ac:dyDescent="0.25">
      <c r="L1005" s="94"/>
      <c r="M1005" s="86"/>
      <c r="N1005" s="158"/>
      <c r="O1005" s="86"/>
      <c r="P1005" s="174"/>
      <c r="Q1005" s="121"/>
      <c r="R1005" s="122"/>
      <c r="S1005" s="76"/>
    </row>
    <row r="1006" spans="12:19" x14ac:dyDescent="0.25">
      <c r="L1006" s="94"/>
      <c r="M1006" s="86"/>
      <c r="N1006" s="158"/>
      <c r="O1006" s="86"/>
      <c r="P1006" s="174"/>
      <c r="Q1006" s="121"/>
      <c r="R1006" s="122"/>
      <c r="S1006" s="76"/>
    </row>
    <row r="1007" spans="12:19" x14ac:dyDescent="0.25">
      <c r="L1007" s="94"/>
      <c r="M1007" s="86"/>
      <c r="N1007" s="158"/>
      <c r="O1007" s="86"/>
      <c r="P1007" s="174"/>
      <c r="Q1007" s="121"/>
      <c r="R1007" s="122"/>
      <c r="S1007" s="76"/>
    </row>
    <row r="1008" spans="12:19" x14ac:dyDescent="0.25">
      <c r="L1008" s="94"/>
      <c r="M1008" s="86"/>
      <c r="N1008" s="158"/>
      <c r="O1008" s="86"/>
      <c r="P1008" s="174"/>
      <c r="Q1008" s="121"/>
      <c r="R1008" s="122"/>
      <c r="S1008" s="76"/>
    </row>
    <row r="1009" spans="12:19" x14ac:dyDescent="0.25">
      <c r="L1009" s="94"/>
      <c r="M1009" s="86"/>
      <c r="N1009" s="158"/>
      <c r="O1009" s="86"/>
      <c r="P1009" s="174"/>
      <c r="Q1009" s="121"/>
      <c r="R1009" s="122"/>
      <c r="S1009" s="76"/>
    </row>
    <row r="1010" spans="12:19" x14ac:dyDescent="0.25">
      <c r="L1010" s="94"/>
      <c r="M1010" s="86"/>
      <c r="N1010" s="158"/>
      <c r="O1010" s="86"/>
      <c r="P1010" s="174"/>
      <c r="Q1010" s="121"/>
      <c r="R1010" s="122"/>
      <c r="S1010" s="76"/>
    </row>
    <row r="1011" spans="12:19" x14ac:dyDescent="0.25">
      <c r="L1011" s="94"/>
      <c r="M1011" s="86"/>
      <c r="N1011" s="158"/>
      <c r="O1011" s="86"/>
      <c r="P1011" s="174"/>
      <c r="Q1011" s="121"/>
      <c r="R1011" s="122"/>
      <c r="S1011" s="76"/>
    </row>
    <row r="1012" spans="12:19" x14ac:dyDescent="0.25">
      <c r="L1012" s="94"/>
      <c r="M1012" s="86"/>
      <c r="N1012" s="158"/>
      <c r="O1012" s="86"/>
      <c r="P1012" s="174"/>
      <c r="Q1012" s="121"/>
      <c r="R1012" s="122"/>
      <c r="S1012" s="76"/>
    </row>
    <row r="1013" spans="12:19" x14ac:dyDescent="0.25">
      <c r="L1013" s="94"/>
      <c r="M1013" s="86"/>
      <c r="N1013" s="158"/>
      <c r="O1013" s="86"/>
      <c r="P1013" s="174"/>
      <c r="Q1013" s="121"/>
      <c r="R1013" s="122"/>
      <c r="S1013" s="76"/>
    </row>
    <row r="1014" spans="12:19" x14ac:dyDescent="0.25">
      <c r="L1014" s="94"/>
      <c r="M1014" s="86"/>
      <c r="N1014" s="158"/>
      <c r="O1014" s="86"/>
      <c r="P1014" s="174"/>
      <c r="Q1014" s="121"/>
      <c r="R1014" s="122"/>
      <c r="S1014" s="76"/>
    </row>
    <row r="1015" spans="12:19" x14ac:dyDescent="0.25">
      <c r="L1015" s="94"/>
      <c r="M1015" s="86"/>
      <c r="N1015" s="158"/>
      <c r="O1015" s="86"/>
      <c r="P1015" s="174"/>
      <c r="Q1015" s="121"/>
      <c r="R1015" s="122"/>
      <c r="S1015" s="76"/>
    </row>
    <row r="1016" spans="12:19" x14ac:dyDescent="0.25">
      <c r="L1016" s="94"/>
      <c r="M1016" s="86"/>
      <c r="N1016" s="158"/>
      <c r="O1016" s="86"/>
      <c r="P1016" s="174"/>
      <c r="Q1016" s="121"/>
      <c r="R1016" s="122"/>
      <c r="S1016" s="76"/>
    </row>
  </sheetData>
  <mergeCells count="4">
    <mergeCell ref="E3:F3"/>
    <mergeCell ref="L3:N3"/>
    <mergeCell ref="B7:H7"/>
    <mergeCell ref="M7:P7"/>
  </mergeCells>
  <pageMargins left="0.7" right="0.7" top="0.75" bottom="0.75" header="0.51180555555555496" footer="0.51180555555555496"/>
  <pageSetup paperSize="9" firstPageNumber="0" orientation="portrait" useFirstPageNumber="1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Valeurs!$A$1:$A$3</xm:f>
          </x14:formula1>
          <xm:sqref>S455:S474 S797:S1244 S31:S148 S209:S262 S323:S434 S494:S546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G46"/>
  <sheetViews>
    <sheetView zoomScale="80" zoomScaleNormal="80" workbookViewId="0">
      <pane ySplit="8" topLeftCell="A9" activePane="bottomLeft" state="frozen"/>
      <selection pane="bottomLeft" activeCell="S16" sqref="S16"/>
    </sheetView>
  </sheetViews>
  <sheetFormatPr baseColWidth="10" defaultColWidth="9" defaultRowHeight="15" x14ac:dyDescent="0.25"/>
  <cols>
    <col min="1" max="1" width="13.28515625" customWidth="1"/>
    <col min="2" max="2" width="10.28515625" customWidth="1"/>
    <col min="3" max="3" width="13.42578125" customWidth="1"/>
    <col min="4" max="4" width="17" customWidth="1"/>
    <col min="5" max="5" width="10.42578125" customWidth="1"/>
    <col min="6" max="6" width="9.85546875" customWidth="1"/>
    <col min="7" max="7" width="11" customWidth="1"/>
    <col min="8" max="8" width="12.42578125" customWidth="1"/>
    <col min="9" max="9" width="10.28515625" customWidth="1"/>
    <col min="10" max="10" width="10.5703125" customWidth="1"/>
    <col min="11" max="11" width="16.28515625" customWidth="1"/>
    <col min="12" max="12" width="13.7109375" customWidth="1"/>
    <col min="13" max="13" width="12.85546875" customWidth="1"/>
    <col min="14" max="14" width="10.140625" customWidth="1"/>
    <col min="15" max="15" width="12.28515625" customWidth="1"/>
    <col min="16" max="16" width="19.140625" customWidth="1"/>
    <col min="17" max="17" width="10" customWidth="1"/>
    <col min="18" max="18" width="10.7109375" customWidth="1"/>
    <col min="19" max="19" width="15.42578125" customWidth="1"/>
    <col min="20" max="20" width="16.7109375" customWidth="1"/>
    <col min="21" max="21" width="22.5703125" customWidth="1"/>
    <col min="22" max="22" width="12.28515625" customWidth="1"/>
    <col min="23" max="23" width="16.5703125" customWidth="1"/>
    <col min="24" max="25" width="14.7109375" customWidth="1"/>
    <col min="26" max="26" width="14.42578125" customWidth="1"/>
    <col min="27" max="27" width="15.7109375" customWidth="1"/>
    <col min="28" max="28" width="16.5703125" customWidth="1"/>
    <col min="29" max="29" width="11.140625" customWidth="1"/>
    <col min="30" max="30" width="16.85546875" customWidth="1"/>
    <col min="31" max="1025" width="8.7109375" customWidth="1"/>
  </cols>
  <sheetData>
    <row r="1" spans="1:33" s="29" customFormat="1" ht="28.5" x14ac:dyDescent="0.25">
      <c r="C1" s="30" t="s">
        <v>50</v>
      </c>
    </row>
    <row r="2" spans="1:33" s="29" customFormat="1" x14ac:dyDescent="0.25">
      <c r="I2" s="42"/>
    </row>
    <row r="3" spans="1:33" s="29" customFormat="1" ht="46.5" x14ac:dyDescent="0.7">
      <c r="C3" s="31" t="s">
        <v>4</v>
      </c>
      <c r="D3" s="32"/>
      <c r="E3" s="242">
        <f>SUMIF(U9:U45,"LIBERE",S9:S45)</f>
        <v>48000</v>
      </c>
      <c r="F3" s="242"/>
      <c r="G3" s="242"/>
      <c r="H3" s="33"/>
      <c r="I3" s="43"/>
      <c r="K3" s="44" t="s">
        <v>5</v>
      </c>
      <c r="L3" s="45"/>
      <c r="M3" s="243">
        <f ca="1">SUMIF(U9:U1048576,"NON LIBERE",S9:S33)</f>
        <v>0</v>
      </c>
      <c r="N3" s="243"/>
      <c r="O3" s="243"/>
      <c r="Q3" s="55" t="s">
        <v>6</v>
      </c>
      <c r="R3" s="56"/>
      <c r="S3" s="57"/>
      <c r="T3" s="57"/>
      <c r="U3" s="58">
        <f>SUM(G14:G32)</f>
        <v>0</v>
      </c>
      <c r="W3" s="59" t="s">
        <v>7</v>
      </c>
      <c r="X3" s="60">
        <f>SUMIF(X9:X1048576,"REFONTE",Z9:Z1048576)</f>
        <v>0</v>
      </c>
      <c r="AA3" s="79" t="s">
        <v>8</v>
      </c>
      <c r="AB3" s="80">
        <f>SUMIF(X9:X1048576,"NC-A VENDRE",Z9:Z1048576)</f>
        <v>0</v>
      </c>
    </row>
    <row r="4" spans="1:33" s="29" customFormat="1" ht="21" x14ac:dyDescent="0.25">
      <c r="G4" s="34" t="str">
        <f>COUNTIF(U9:U1048576,Valeurs!A1)&amp;" lots"</f>
        <v>3 lots</v>
      </c>
      <c r="H4" s="34"/>
      <c r="O4" s="46" t="str">
        <f>COUNTIF(U9:U1048576,Valeurs!A2)&amp;" lots"</f>
        <v>0 lots</v>
      </c>
      <c r="U4" s="61" t="str">
        <f>COUNT(G14:G32)&amp;" lots"</f>
        <v>0 lots</v>
      </c>
      <c r="W4" s="62" t="s">
        <v>9</v>
      </c>
      <c r="X4" s="62"/>
      <c r="Y4" s="81"/>
      <c r="Z4" s="62"/>
      <c r="AA4" s="62" t="s">
        <v>8</v>
      </c>
      <c r="AB4" s="62"/>
    </row>
    <row r="5" spans="1:33" s="29" customFormat="1" x14ac:dyDescent="0.25">
      <c r="W5" s="63" t="s">
        <v>10</v>
      </c>
      <c r="X5" s="63"/>
      <c r="Y5" s="82" t="s">
        <v>11</v>
      </c>
      <c r="Z5" s="83" t="s">
        <v>12</v>
      </c>
      <c r="AA5" s="63" t="s">
        <v>13</v>
      </c>
      <c r="AB5" s="63" t="s">
        <v>14</v>
      </c>
    </row>
    <row r="6" spans="1:33" ht="25.35" customHeight="1" x14ac:dyDescent="0.25">
      <c r="W6" s="64"/>
      <c r="X6" s="64"/>
      <c r="Y6" s="84"/>
      <c r="Z6" s="85"/>
      <c r="AA6" s="85"/>
      <c r="AB6" s="85"/>
      <c r="AC6" s="86"/>
    </row>
    <row r="7" spans="1:33" s="29" customFormat="1" ht="27.6" customHeight="1" x14ac:dyDescent="0.25">
      <c r="A7" s="35"/>
      <c r="B7" s="244" t="s">
        <v>51</v>
      </c>
      <c r="C7" s="244"/>
      <c r="D7" s="244"/>
      <c r="E7" s="244"/>
      <c r="F7" s="244"/>
      <c r="G7" s="244"/>
      <c r="H7" s="244"/>
      <c r="I7" s="244"/>
      <c r="J7" s="47"/>
      <c r="K7" s="47"/>
      <c r="M7" s="35"/>
      <c r="N7" s="244" t="s">
        <v>52</v>
      </c>
      <c r="O7" s="244"/>
      <c r="P7" s="244"/>
      <c r="Q7" s="244"/>
      <c r="R7" s="244"/>
      <c r="S7" s="65"/>
      <c r="T7" s="66"/>
      <c r="U7" s="67"/>
      <c r="W7" s="64"/>
      <c r="X7" s="64"/>
      <c r="Y7" s="83"/>
      <c r="Z7" s="87"/>
      <c r="AA7" s="87"/>
      <c r="AB7" s="87"/>
    </row>
    <row r="8" spans="1:33" s="29" customFormat="1" ht="30" x14ac:dyDescent="0.25">
      <c r="A8" s="36" t="s">
        <v>19</v>
      </c>
      <c r="B8" s="36" t="s">
        <v>20</v>
      </c>
      <c r="C8" s="37" t="s">
        <v>21</v>
      </c>
      <c r="D8" s="36" t="s">
        <v>22</v>
      </c>
      <c r="E8" s="37" t="s">
        <v>23</v>
      </c>
      <c r="F8" s="38" t="s">
        <v>24</v>
      </c>
      <c r="G8" s="36" t="s">
        <v>25</v>
      </c>
      <c r="H8" s="36" t="s">
        <v>16</v>
      </c>
      <c r="I8" s="48" t="s">
        <v>26</v>
      </c>
      <c r="J8" s="36" t="s">
        <v>27</v>
      </c>
      <c r="K8" s="49" t="s">
        <v>28</v>
      </c>
      <c r="M8" s="50" t="s">
        <v>19</v>
      </c>
      <c r="N8" s="36" t="s">
        <v>20</v>
      </c>
      <c r="O8" s="51" t="s">
        <v>21</v>
      </c>
      <c r="P8" s="50" t="s">
        <v>22</v>
      </c>
      <c r="Q8" s="51" t="s">
        <v>23</v>
      </c>
      <c r="R8" s="68" t="s">
        <v>24</v>
      </c>
      <c r="S8" s="69" t="s">
        <v>25</v>
      </c>
      <c r="T8" s="70" t="s">
        <v>16</v>
      </c>
      <c r="U8" s="71" t="s">
        <v>26</v>
      </c>
    </row>
    <row r="9" spans="1:33" x14ac:dyDescent="0.25">
      <c r="A9" s="4"/>
      <c r="B9" s="4"/>
      <c r="C9" s="4"/>
      <c r="D9" s="4"/>
      <c r="E9" s="4"/>
      <c r="F9" s="4"/>
      <c r="G9" s="4"/>
      <c r="H9" s="39"/>
      <c r="I9" s="4"/>
      <c r="J9" s="4"/>
      <c r="K9" s="4"/>
      <c r="M9" s="52">
        <v>45839</v>
      </c>
      <c r="N9" s="4">
        <v>1</v>
      </c>
      <c r="O9" s="4">
        <v>2518215401</v>
      </c>
      <c r="P9" s="4" t="s">
        <v>53</v>
      </c>
      <c r="Q9" s="4">
        <v>8</v>
      </c>
      <c r="R9" s="4">
        <v>320</v>
      </c>
      <c r="S9" s="4">
        <v>8000</v>
      </c>
      <c r="T9" s="39">
        <v>8275</v>
      </c>
      <c r="U9" s="164" t="s">
        <v>0</v>
      </c>
      <c r="W9" s="73"/>
      <c r="X9" s="74"/>
      <c r="Y9" s="85"/>
      <c r="Z9" s="87"/>
      <c r="AA9" s="87"/>
      <c r="AB9" s="87"/>
      <c r="AC9" s="88"/>
    </row>
    <row r="10" spans="1:33" x14ac:dyDescent="0.25">
      <c r="A10" s="4"/>
      <c r="B10" s="4"/>
      <c r="C10" s="4"/>
      <c r="D10" s="4"/>
      <c r="E10" s="4"/>
      <c r="F10" s="4"/>
      <c r="G10" s="4"/>
      <c r="H10" s="39"/>
      <c r="I10" s="4"/>
      <c r="J10" s="4"/>
      <c r="K10" s="4"/>
      <c r="M10" s="52">
        <v>46137</v>
      </c>
      <c r="N10" s="4">
        <v>1</v>
      </c>
      <c r="O10" s="4">
        <v>2533315401</v>
      </c>
      <c r="P10" s="4" t="s">
        <v>53</v>
      </c>
      <c r="Q10" s="4">
        <v>20</v>
      </c>
      <c r="R10" s="4">
        <v>800</v>
      </c>
      <c r="S10" s="4">
        <v>20000</v>
      </c>
      <c r="T10" s="39">
        <v>20801</v>
      </c>
      <c r="U10" s="164" t="s">
        <v>0</v>
      </c>
      <c r="W10" s="73"/>
      <c r="X10" s="74"/>
      <c r="Y10" s="85"/>
      <c r="Z10" s="87"/>
      <c r="AA10" s="87"/>
      <c r="AB10" s="87"/>
      <c r="AC10" s="88"/>
    </row>
    <row r="11" spans="1:33" ht="15.75" x14ac:dyDescent="0.25">
      <c r="A11" s="4"/>
      <c r="B11" s="4"/>
      <c r="C11" s="4"/>
      <c r="D11" s="4"/>
      <c r="E11" s="4"/>
      <c r="F11" s="4"/>
      <c r="G11" s="4"/>
      <c r="H11" s="39"/>
      <c r="I11" s="4"/>
      <c r="J11" s="4"/>
      <c r="K11" s="4"/>
      <c r="M11" s="52">
        <v>46140</v>
      </c>
      <c r="N11" s="4">
        <v>1</v>
      </c>
      <c r="O11" s="4">
        <v>2611515401</v>
      </c>
      <c r="P11" s="4" t="s">
        <v>53</v>
      </c>
      <c r="Q11" s="4">
        <v>20</v>
      </c>
      <c r="R11" s="4">
        <v>800</v>
      </c>
      <c r="S11" s="4">
        <v>20000</v>
      </c>
      <c r="T11" s="39"/>
      <c r="U11" s="164" t="s">
        <v>0</v>
      </c>
      <c r="W11" s="73"/>
      <c r="X11" s="74"/>
      <c r="Y11" s="85"/>
      <c r="Z11" s="87"/>
      <c r="AA11" s="87"/>
      <c r="AB11" s="87"/>
      <c r="AC11" s="88"/>
      <c r="AD11" s="89"/>
      <c r="AE11" s="20"/>
      <c r="AF11" s="20"/>
      <c r="AG11" s="20"/>
    </row>
    <row r="12" spans="1:33" ht="15.75" x14ac:dyDescent="0.25">
      <c r="A12" s="4"/>
      <c r="B12" s="4"/>
      <c r="C12" s="4"/>
      <c r="D12" s="4"/>
      <c r="E12" s="4"/>
      <c r="F12" s="4"/>
      <c r="G12" s="4"/>
      <c r="H12" s="39"/>
      <c r="I12" s="4"/>
      <c r="J12" s="4"/>
      <c r="K12" s="4"/>
      <c r="M12" s="52"/>
      <c r="N12" s="4"/>
      <c r="O12" s="4"/>
      <c r="P12" s="4"/>
      <c r="Q12" s="4"/>
      <c r="R12" s="4"/>
      <c r="S12" s="4"/>
      <c r="T12" s="39"/>
      <c r="U12" s="75"/>
      <c r="W12" s="73"/>
      <c r="X12" s="74"/>
      <c r="Y12" s="85"/>
      <c r="Z12" s="87"/>
      <c r="AA12" s="87"/>
      <c r="AB12" s="87"/>
      <c r="AC12" s="88"/>
      <c r="AD12" s="89"/>
      <c r="AE12" s="20"/>
      <c r="AF12" s="20"/>
    </row>
    <row r="13" spans="1:33" ht="15.75" x14ac:dyDescent="0.25">
      <c r="A13" s="4"/>
      <c r="B13" s="4"/>
      <c r="C13" s="4"/>
      <c r="D13" s="4"/>
      <c r="E13" s="4"/>
      <c r="F13" s="4"/>
      <c r="G13" s="4"/>
      <c r="H13" s="39"/>
      <c r="I13" s="4"/>
      <c r="J13" s="4"/>
      <c r="K13" s="4"/>
      <c r="M13" s="52"/>
      <c r="N13" s="4"/>
      <c r="O13" s="4"/>
      <c r="P13" s="4"/>
      <c r="Q13" s="4"/>
      <c r="R13" s="4"/>
      <c r="S13" s="4"/>
      <c r="T13" s="39"/>
      <c r="U13" s="75"/>
      <c r="W13" s="73"/>
      <c r="X13" s="74"/>
      <c r="Y13" s="85"/>
      <c r="Z13" s="87"/>
      <c r="AA13" s="87"/>
      <c r="AB13" s="87"/>
      <c r="AC13" s="88"/>
      <c r="AD13" s="89"/>
      <c r="AE13" s="20"/>
      <c r="AF13" s="20"/>
    </row>
    <row r="14" spans="1:33" ht="15.75" x14ac:dyDescent="0.25">
      <c r="A14" s="4"/>
      <c r="B14" s="4"/>
      <c r="C14" s="4"/>
      <c r="D14" s="4"/>
      <c r="E14" s="4"/>
      <c r="F14" s="4"/>
      <c r="G14" s="4"/>
      <c r="H14" s="39"/>
      <c r="I14" s="4"/>
      <c r="J14" s="4"/>
      <c r="K14" s="4"/>
      <c r="M14" s="52"/>
      <c r="N14" s="4"/>
      <c r="O14" s="4"/>
      <c r="P14" s="4"/>
      <c r="Q14" s="4"/>
      <c r="R14" s="4"/>
      <c r="S14" s="4"/>
      <c r="T14" s="39"/>
      <c r="U14" s="75"/>
      <c r="W14" s="73"/>
      <c r="X14" s="74"/>
      <c r="Y14" s="85"/>
      <c r="Z14" s="87"/>
      <c r="AA14" s="87"/>
      <c r="AB14" s="87"/>
      <c r="AC14" s="88"/>
      <c r="AD14" s="89"/>
      <c r="AE14" s="20"/>
      <c r="AF14" s="20"/>
    </row>
    <row r="15" spans="1:33" ht="15.75" x14ac:dyDescent="0.25">
      <c r="A15" s="4"/>
      <c r="B15" s="4"/>
      <c r="C15" s="4"/>
      <c r="D15" s="4"/>
      <c r="E15" s="4"/>
      <c r="F15" s="4"/>
      <c r="G15" s="4"/>
      <c r="H15" s="39"/>
      <c r="I15" s="4"/>
      <c r="J15" s="4"/>
      <c r="K15" s="4"/>
      <c r="M15" s="52"/>
      <c r="N15" s="4"/>
      <c r="O15" s="4"/>
      <c r="P15" s="4"/>
      <c r="Q15" s="4"/>
      <c r="R15" s="4"/>
      <c r="S15" s="4"/>
      <c r="T15" s="39"/>
      <c r="U15" s="75"/>
      <c r="W15" s="73"/>
      <c r="X15" s="74"/>
      <c r="Y15" s="85"/>
      <c r="Z15" s="87"/>
      <c r="AA15" s="87"/>
      <c r="AB15" s="87"/>
      <c r="AC15" s="88"/>
      <c r="AD15" s="89"/>
      <c r="AE15" s="20"/>
      <c r="AF15" s="20"/>
    </row>
    <row r="16" spans="1:33" ht="15.75" x14ac:dyDescent="0.25">
      <c r="A16" s="4"/>
      <c r="B16" s="4"/>
      <c r="C16" s="4"/>
      <c r="D16" s="4"/>
      <c r="E16" s="4"/>
      <c r="F16" s="4"/>
      <c r="G16" s="4"/>
      <c r="H16" s="39"/>
      <c r="I16" s="4"/>
      <c r="J16" s="4"/>
      <c r="K16" s="4"/>
      <c r="L16" s="21"/>
      <c r="M16" s="52"/>
      <c r="N16" s="4"/>
      <c r="O16" s="4"/>
      <c r="P16" s="4"/>
      <c r="Q16" s="4"/>
      <c r="R16" s="4"/>
      <c r="S16" s="4"/>
      <c r="T16" s="39"/>
      <c r="U16" s="75"/>
      <c r="W16" s="73"/>
      <c r="X16" s="74"/>
      <c r="Y16" s="85"/>
      <c r="Z16" s="87"/>
      <c r="AA16" s="87"/>
      <c r="AB16" s="87"/>
      <c r="AC16" s="88"/>
      <c r="AD16" s="89"/>
      <c r="AE16" s="20"/>
      <c r="AF16" s="20"/>
    </row>
    <row r="17" spans="1:32" ht="15.75" x14ac:dyDescent="0.25">
      <c r="A17" s="4"/>
      <c r="B17" s="4"/>
      <c r="C17" s="4"/>
      <c r="D17" s="4"/>
      <c r="E17" s="4"/>
      <c r="F17" s="4"/>
      <c r="G17" s="4"/>
      <c r="H17" s="39"/>
      <c r="I17" s="4"/>
      <c r="J17" s="4"/>
      <c r="K17" s="4"/>
      <c r="M17" s="52"/>
      <c r="N17" s="4"/>
      <c r="O17" s="4"/>
      <c r="P17" s="4"/>
      <c r="Q17" s="4"/>
      <c r="R17" s="4"/>
      <c r="S17" s="4"/>
      <c r="T17" s="39"/>
      <c r="U17" s="75"/>
      <c r="W17" s="73"/>
      <c r="X17" s="74"/>
      <c r="Y17" s="85"/>
      <c r="Z17" s="87"/>
      <c r="AA17" s="87"/>
      <c r="AB17" s="87"/>
      <c r="AC17" s="88"/>
      <c r="AD17" s="89"/>
      <c r="AE17" s="20"/>
      <c r="AF17" s="20"/>
    </row>
    <row r="18" spans="1:32" ht="15.75" x14ac:dyDescent="0.25">
      <c r="A18" s="4"/>
      <c r="B18" s="4"/>
      <c r="C18" s="4"/>
      <c r="D18" s="4"/>
      <c r="E18" s="4"/>
      <c r="F18" s="4"/>
      <c r="G18" s="4"/>
      <c r="H18" s="39"/>
      <c r="I18" s="4"/>
      <c r="J18" s="4"/>
      <c r="K18" s="4"/>
      <c r="M18" s="52"/>
      <c r="N18" s="4"/>
      <c r="O18" s="4"/>
      <c r="P18" s="4"/>
      <c r="Q18" s="4"/>
      <c r="R18" s="4"/>
      <c r="S18" s="4"/>
      <c r="T18" s="39"/>
      <c r="U18" s="75"/>
      <c r="W18" s="73"/>
      <c r="X18" s="74"/>
      <c r="Y18" s="85"/>
      <c r="Z18" s="87"/>
      <c r="AA18" s="87"/>
      <c r="AB18" s="87"/>
      <c r="AC18" s="88"/>
      <c r="AD18" s="89"/>
      <c r="AE18" s="20"/>
      <c r="AF18" s="20"/>
    </row>
    <row r="19" spans="1:32" ht="15.75" x14ac:dyDescent="0.25">
      <c r="A19" s="4"/>
      <c r="B19" s="4"/>
      <c r="C19" s="4"/>
      <c r="D19" s="4"/>
      <c r="E19" s="4"/>
      <c r="F19" s="4"/>
      <c r="G19" s="4"/>
      <c r="H19" s="39"/>
      <c r="I19" s="4"/>
      <c r="J19" s="4"/>
      <c r="K19" s="4"/>
      <c r="M19" s="52"/>
      <c r="N19" s="4"/>
      <c r="O19" s="4"/>
      <c r="P19" s="4"/>
      <c r="Q19" s="4"/>
      <c r="R19" s="4"/>
      <c r="S19" s="4"/>
      <c r="T19" s="39"/>
      <c r="U19" s="75"/>
      <c r="W19" s="73"/>
      <c r="X19" s="74"/>
      <c r="Y19" s="85"/>
      <c r="Z19" s="87"/>
      <c r="AA19" s="87"/>
      <c r="AB19" s="87"/>
      <c r="AC19" s="88"/>
      <c r="AD19" s="89"/>
      <c r="AE19" s="20"/>
      <c r="AF19" s="20"/>
    </row>
    <row r="20" spans="1:32" ht="15.75" x14ac:dyDescent="0.25">
      <c r="A20" s="4"/>
      <c r="B20" s="4"/>
      <c r="C20" s="4"/>
      <c r="D20" s="4"/>
      <c r="E20" s="4"/>
      <c r="F20" s="4"/>
      <c r="G20" s="4"/>
      <c r="H20" s="39"/>
      <c r="I20" s="4"/>
      <c r="J20" s="4"/>
      <c r="K20" s="4"/>
      <c r="M20" s="52"/>
      <c r="N20" s="4"/>
      <c r="O20" s="4"/>
      <c r="P20" s="4"/>
      <c r="Q20" s="4"/>
      <c r="R20" s="4"/>
      <c r="S20" s="4"/>
      <c r="T20" s="39"/>
      <c r="U20" s="75"/>
      <c r="W20" s="73"/>
      <c r="X20" s="74"/>
      <c r="Y20" s="85"/>
      <c r="Z20" s="87"/>
      <c r="AA20" s="87"/>
      <c r="AB20" s="87"/>
      <c r="AC20" s="88"/>
      <c r="AD20" s="89"/>
      <c r="AE20" s="20"/>
      <c r="AF20" s="20"/>
    </row>
    <row r="21" spans="1:32" ht="15.75" x14ac:dyDescent="0.25">
      <c r="A21" s="4"/>
      <c r="B21" s="4"/>
      <c r="C21" s="4"/>
      <c r="D21" s="4"/>
      <c r="E21" s="4"/>
      <c r="F21" s="4"/>
      <c r="G21" s="4"/>
      <c r="H21" s="39"/>
      <c r="I21" s="4"/>
      <c r="J21" s="4"/>
      <c r="K21" s="4"/>
      <c r="M21" s="52"/>
      <c r="N21" s="4"/>
      <c r="O21" s="4"/>
      <c r="P21" s="4"/>
      <c r="Q21" s="4"/>
      <c r="R21" s="4"/>
      <c r="S21" s="4"/>
      <c r="T21" s="39"/>
      <c r="U21" s="75"/>
      <c r="W21" s="73"/>
      <c r="X21" s="74"/>
      <c r="Y21" s="85"/>
      <c r="Z21" s="87"/>
      <c r="AA21" s="87"/>
      <c r="AB21" s="87"/>
      <c r="AC21" s="88"/>
      <c r="AD21" s="89"/>
      <c r="AE21" s="20"/>
      <c r="AF21" s="20"/>
    </row>
    <row r="22" spans="1:32" ht="15.75" x14ac:dyDescent="0.25">
      <c r="A22" s="4"/>
      <c r="B22" s="4"/>
      <c r="C22" s="4"/>
      <c r="D22" s="4"/>
      <c r="E22" s="4"/>
      <c r="F22" s="4"/>
      <c r="G22" s="4"/>
      <c r="H22" s="39"/>
      <c r="I22" s="4"/>
      <c r="J22" s="4"/>
      <c r="K22" s="4"/>
      <c r="M22" s="52"/>
      <c r="N22" s="4"/>
      <c r="O22" s="4"/>
      <c r="P22" s="4"/>
      <c r="Q22" s="4"/>
      <c r="R22" s="4"/>
      <c r="S22" s="4"/>
      <c r="T22" s="39"/>
      <c r="U22" s="75"/>
      <c r="W22" s="73"/>
      <c r="X22" s="74"/>
      <c r="Y22" s="85"/>
      <c r="Z22" s="87"/>
      <c r="AA22" s="87"/>
      <c r="AB22" s="87"/>
      <c r="AC22" s="88"/>
      <c r="AD22" s="89"/>
      <c r="AE22" s="20"/>
      <c r="AF22" s="20"/>
    </row>
    <row r="23" spans="1:32" ht="15.75" x14ac:dyDescent="0.25">
      <c r="A23" s="4"/>
      <c r="B23" s="4"/>
      <c r="C23" s="4"/>
      <c r="D23" s="4"/>
      <c r="E23" s="4"/>
      <c r="F23" s="4"/>
      <c r="G23" s="4"/>
      <c r="H23" s="39"/>
      <c r="I23" s="4"/>
      <c r="J23" s="4"/>
      <c r="K23" s="4"/>
      <c r="M23" s="52"/>
      <c r="N23" s="4"/>
      <c r="O23" s="4"/>
      <c r="P23" s="4"/>
      <c r="Q23" s="4"/>
      <c r="R23" s="4"/>
      <c r="S23" s="4"/>
      <c r="T23" s="39"/>
      <c r="U23" s="75"/>
      <c r="W23" s="73"/>
      <c r="X23" s="74"/>
      <c r="Y23" s="85"/>
      <c r="Z23" s="87"/>
      <c r="AA23" s="87"/>
      <c r="AB23" s="87"/>
      <c r="AC23" s="88"/>
      <c r="AD23" s="89"/>
      <c r="AE23" s="20"/>
      <c r="AF23" s="20"/>
    </row>
    <row r="24" spans="1:32" ht="15.75" x14ac:dyDescent="0.25">
      <c r="A24" s="4"/>
      <c r="B24" s="4"/>
      <c r="C24" s="4"/>
      <c r="D24" s="4"/>
      <c r="E24" s="4"/>
      <c r="F24" s="4"/>
      <c r="G24" s="4"/>
      <c r="H24" s="39"/>
      <c r="I24" s="4"/>
      <c r="J24" s="4"/>
      <c r="K24" s="4"/>
      <c r="M24" s="52"/>
      <c r="N24" s="4"/>
      <c r="O24" s="4"/>
      <c r="P24" s="4"/>
      <c r="Q24" s="4"/>
      <c r="R24" s="4"/>
      <c r="S24" s="4"/>
      <c r="T24" s="39"/>
      <c r="U24" s="75"/>
      <c r="W24" s="73"/>
      <c r="X24" s="74"/>
      <c r="Y24" s="85"/>
      <c r="Z24" s="87"/>
      <c r="AA24" s="87"/>
      <c r="AB24" s="87"/>
      <c r="AC24" s="88"/>
      <c r="AD24" s="89"/>
      <c r="AE24" s="20"/>
      <c r="AF24" s="20"/>
    </row>
    <row r="25" spans="1:32" ht="15.75" x14ac:dyDescent="0.25">
      <c r="A25" s="4"/>
      <c r="B25" s="4"/>
      <c r="C25" s="4"/>
      <c r="D25" s="4"/>
      <c r="E25" s="4"/>
      <c r="F25" s="4"/>
      <c r="G25" s="4"/>
      <c r="H25" s="39"/>
      <c r="I25" s="4"/>
      <c r="J25" s="4"/>
      <c r="K25" s="4"/>
      <c r="M25" s="53"/>
      <c r="N25" s="4"/>
      <c r="O25" s="4"/>
      <c r="P25" s="4"/>
      <c r="Q25" s="4"/>
      <c r="R25" s="4"/>
      <c r="S25" s="4"/>
      <c r="T25" s="39"/>
      <c r="U25" s="76"/>
      <c r="W25" s="73"/>
      <c r="X25" s="74"/>
      <c r="Y25" s="85"/>
      <c r="Z25" s="87"/>
      <c r="AA25" s="87"/>
      <c r="AB25" s="87"/>
      <c r="AC25" s="88"/>
      <c r="AD25" s="89"/>
      <c r="AE25" s="20"/>
      <c r="AF25" s="20"/>
    </row>
    <row r="26" spans="1:32" ht="15.75" x14ac:dyDescent="0.25">
      <c r="A26" s="4"/>
      <c r="B26" s="4"/>
      <c r="C26" s="4"/>
      <c r="D26" s="4"/>
      <c r="E26" s="4"/>
      <c r="F26" s="4"/>
      <c r="G26" s="4"/>
      <c r="H26" s="39"/>
      <c r="I26" s="4"/>
      <c r="J26" s="4"/>
      <c r="K26" s="4"/>
      <c r="M26" s="52"/>
      <c r="N26" s="4"/>
      <c r="O26" s="4"/>
      <c r="P26" s="4"/>
      <c r="Q26" s="4"/>
      <c r="R26" s="4"/>
      <c r="S26" s="4"/>
      <c r="T26" s="39"/>
      <c r="U26" s="76"/>
      <c r="W26" s="73"/>
      <c r="X26" s="74"/>
      <c r="Y26" s="85"/>
      <c r="Z26" s="87"/>
      <c r="AA26" s="87"/>
      <c r="AB26" s="87"/>
      <c r="AC26" s="88"/>
      <c r="AD26" s="89"/>
      <c r="AE26" s="20"/>
      <c r="AF26" s="20"/>
    </row>
    <row r="27" spans="1:32" ht="15.75" x14ac:dyDescent="0.25">
      <c r="A27" s="4"/>
      <c r="B27" s="4"/>
      <c r="C27" s="4"/>
      <c r="D27" s="4"/>
      <c r="E27" s="4"/>
      <c r="F27" s="4"/>
      <c r="G27" s="4"/>
      <c r="H27" s="39"/>
      <c r="I27" s="4"/>
      <c r="J27" s="4"/>
      <c r="K27" s="4"/>
      <c r="M27" s="52"/>
      <c r="N27" s="4"/>
      <c r="O27" s="4"/>
      <c r="P27" s="4"/>
      <c r="Q27" s="4"/>
      <c r="R27" s="4"/>
      <c r="S27" s="4"/>
      <c r="T27" s="39"/>
      <c r="U27" s="76"/>
      <c r="W27" s="73"/>
      <c r="X27" s="74"/>
      <c r="Y27" s="85"/>
      <c r="Z27" s="87"/>
      <c r="AA27" s="87"/>
      <c r="AB27" s="87"/>
      <c r="AC27" s="88"/>
      <c r="AD27" s="89"/>
      <c r="AE27" s="20"/>
      <c r="AF27" s="20"/>
    </row>
    <row r="28" spans="1:32" ht="15.75" x14ac:dyDescent="0.25">
      <c r="A28" s="4"/>
      <c r="B28" s="4"/>
      <c r="C28" s="4"/>
      <c r="D28" s="4"/>
      <c r="E28" s="4"/>
      <c r="F28" s="4"/>
      <c r="G28" s="4"/>
      <c r="H28" s="39"/>
      <c r="I28" s="4"/>
      <c r="J28" s="4"/>
      <c r="K28" s="4"/>
      <c r="M28" s="52"/>
      <c r="N28" s="4"/>
      <c r="O28" s="4"/>
      <c r="P28" s="4"/>
      <c r="Q28" s="4"/>
      <c r="R28" s="4"/>
      <c r="S28" s="4"/>
      <c r="T28" s="39"/>
      <c r="U28" s="76"/>
      <c r="W28" s="73"/>
      <c r="X28" s="74"/>
      <c r="Y28" s="85"/>
      <c r="Z28" s="87"/>
      <c r="AA28" s="87"/>
      <c r="AB28" s="87"/>
      <c r="AC28" s="88"/>
      <c r="AD28" s="89"/>
      <c r="AE28" s="20"/>
      <c r="AF28" s="20"/>
    </row>
    <row r="29" spans="1:32" ht="15.75" x14ac:dyDescent="0.25">
      <c r="A29" s="4"/>
      <c r="B29" s="4"/>
      <c r="C29" s="4"/>
      <c r="D29" s="4"/>
      <c r="E29" s="4"/>
      <c r="F29" s="4"/>
      <c r="G29" s="4"/>
      <c r="H29" s="39"/>
      <c r="I29" s="4"/>
      <c r="J29" s="4"/>
      <c r="K29" s="4"/>
      <c r="M29" s="52"/>
      <c r="N29" s="4"/>
      <c r="O29" s="4"/>
      <c r="P29" s="4"/>
      <c r="Q29" s="4"/>
      <c r="R29" s="4"/>
      <c r="S29" s="4"/>
      <c r="T29" s="39"/>
      <c r="U29" s="76"/>
      <c r="W29" s="73"/>
      <c r="X29" s="74"/>
      <c r="Y29" s="85"/>
      <c r="Z29" s="87"/>
      <c r="AA29" s="87"/>
      <c r="AB29" s="87"/>
      <c r="AC29" s="88"/>
      <c r="AD29" s="89"/>
      <c r="AE29" s="20"/>
      <c r="AF29" s="20"/>
    </row>
    <row r="30" spans="1:32" ht="15.75" x14ac:dyDescent="0.25">
      <c r="A30" s="4"/>
      <c r="B30" s="4"/>
      <c r="C30" s="4"/>
      <c r="D30" s="4"/>
      <c r="E30" s="4"/>
      <c r="F30" s="4"/>
      <c r="G30" s="4"/>
      <c r="H30" s="39"/>
      <c r="I30" s="4"/>
      <c r="J30" s="4"/>
      <c r="K30" s="4"/>
      <c r="M30" s="52"/>
      <c r="N30" s="4"/>
      <c r="O30" s="4"/>
      <c r="P30" s="4"/>
      <c r="Q30" s="4"/>
      <c r="R30" s="4"/>
      <c r="S30" s="4"/>
      <c r="T30" s="39"/>
      <c r="U30" s="76"/>
      <c r="W30" s="73"/>
      <c r="X30" s="74"/>
      <c r="Y30" s="85"/>
      <c r="Z30" s="87"/>
      <c r="AA30" s="87"/>
      <c r="AB30" s="87"/>
      <c r="AC30" s="88"/>
      <c r="AD30" s="89"/>
      <c r="AE30" s="20"/>
      <c r="AF30" s="20"/>
    </row>
    <row r="31" spans="1:32" ht="15.75" x14ac:dyDescent="0.25">
      <c r="A31" s="4"/>
      <c r="B31" s="4"/>
      <c r="C31" s="4"/>
      <c r="D31" s="4"/>
      <c r="E31" s="4"/>
      <c r="F31" s="4"/>
      <c r="G31" s="4"/>
      <c r="H31" s="39"/>
      <c r="I31" s="4"/>
      <c r="J31" s="4"/>
      <c r="K31" s="4"/>
      <c r="M31" s="52"/>
      <c r="N31" s="4"/>
      <c r="O31" s="4"/>
      <c r="P31" s="4"/>
      <c r="Q31" s="4"/>
      <c r="R31" s="4"/>
      <c r="S31" s="4"/>
      <c r="T31" s="39"/>
      <c r="U31" s="76"/>
      <c r="W31" s="73"/>
      <c r="X31" s="74"/>
      <c r="Y31" s="85"/>
      <c r="Z31" s="87"/>
      <c r="AA31" s="87"/>
      <c r="AB31" s="87"/>
      <c r="AC31" s="88"/>
      <c r="AD31" s="89"/>
      <c r="AE31" s="20"/>
      <c r="AF31" s="20"/>
    </row>
    <row r="32" spans="1:32" ht="15.75" x14ac:dyDescent="0.25">
      <c r="A32" s="4"/>
      <c r="B32" s="4"/>
      <c r="C32" s="4"/>
      <c r="D32" s="4"/>
      <c r="E32" s="4"/>
      <c r="F32" s="4"/>
      <c r="G32" s="4"/>
      <c r="H32" s="40"/>
      <c r="I32" s="4"/>
      <c r="J32" s="4"/>
      <c r="K32" s="4"/>
      <c r="M32" s="52"/>
      <c r="N32" s="4"/>
      <c r="O32" s="4"/>
      <c r="P32" s="4"/>
      <c r="Q32" s="4"/>
      <c r="R32" s="4"/>
      <c r="S32" s="4"/>
      <c r="T32" s="39"/>
      <c r="U32" s="76"/>
      <c r="W32" s="73"/>
      <c r="X32" s="74"/>
      <c r="Y32" s="85"/>
      <c r="Z32" s="87"/>
      <c r="AA32" s="87"/>
      <c r="AB32" s="87"/>
      <c r="AC32" s="88"/>
      <c r="AD32" s="89"/>
      <c r="AE32" s="20"/>
      <c r="AF32" s="20"/>
    </row>
    <row r="33" spans="2:32" ht="15.75" x14ac:dyDescent="0.25">
      <c r="B33" s="41">
        <f>SUM(B14:B32)</f>
        <v>0</v>
      </c>
      <c r="E33" s="41">
        <f>SUM(E14:E32)</f>
        <v>0</v>
      </c>
      <c r="F33" s="41">
        <f>SUM(F14:F32)</f>
        <v>0</v>
      </c>
      <c r="G33" s="41">
        <f>SUM(G14:G32)</f>
        <v>0</v>
      </c>
      <c r="H33" s="41"/>
      <c r="M33" s="52"/>
      <c r="N33" s="4"/>
      <c r="O33" s="4"/>
      <c r="P33" s="4"/>
      <c r="Q33" s="4"/>
      <c r="R33" s="4"/>
      <c r="S33" s="4"/>
      <c r="T33" s="39"/>
      <c r="U33" s="76"/>
      <c r="W33" s="73"/>
      <c r="X33" s="74"/>
      <c r="Y33" s="85"/>
      <c r="Z33" s="87"/>
      <c r="AA33" s="87"/>
      <c r="AB33" s="87"/>
      <c r="AC33" s="88"/>
      <c r="AD33" s="89"/>
      <c r="AE33" s="20"/>
      <c r="AF33" s="20"/>
    </row>
    <row r="34" spans="2:32" x14ac:dyDescent="0.25">
      <c r="M34" s="52"/>
      <c r="N34" s="4"/>
      <c r="O34" s="4"/>
      <c r="P34" s="4"/>
      <c r="Q34" s="4"/>
      <c r="R34" s="4"/>
      <c r="S34" s="4"/>
      <c r="T34" s="39"/>
      <c r="U34" s="76"/>
      <c r="W34" s="73"/>
      <c r="X34" s="74"/>
      <c r="Y34" s="85"/>
      <c r="Z34" s="87"/>
      <c r="AA34" s="87"/>
      <c r="AB34" s="87"/>
    </row>
    <row r="35" spans="2:32" x14ac:dyDescent="0.25">
      <c r="M35" s="52"/>
      <c r="N35" s="4"/>
      <c r="O35" s="4"/>
      <c r="P35" s="4"/>
      <c r="Q35" s="4"/>
      <c r="R35" s="4"/>
      <c r="S35" s="4"/>
      <c r="T35" s="39"/>
      <c r="U35" s="76"/>
      <c r="W35" s="73"/>
      <c r="X35" s="74"/>
      <c r="Y35" s="85"/>
      <c r="Z35" s="87"/>
      <c r="AA35" s="87"/>
      <c r="AB35" s="87"/>
    </row>
    <row r="36" spans="2:32" x14ac:dyDescent="0.25">
      <c r="M36" s="20"/>
      <c r="N36" s="54">
        <f>SUM(N9:N35)</f>
        <v>3</v>
      </c>
      <c r="Q36" s="41">
        <f>SUM(Q9:Q35)</f>
        <v>48</v>
      </c>
      <c r="R36" s="41">
        <f>SUM(R9:R35)</f>
        <v>1920</v>
      </c>
      <c r="S36" s="41">
        <f>SUM(S9:S35)</f>
        <v>48000</v>
      </c>
      <c r="T36" s="20"/>
      <c r="U36" s="77"/>
    </row>
    <row r="37" spans="2:32" x14ac:dyDescent="0.25">
      <c r="M37" s="20"/>
      <c r="N37" s="20"/>
      <c r="O37" s="20"/>
      <c r="P37" s="20"/>
      <c r="Q37" s="20"/>
      <c r="R37" s="20"/>
      <c r="S37" s="20"/>
      <c r="T37" s="78"/>
      <c r="U37" s="77"/>
    </row>
    <row r="38" spans="2:32" x14ac:dyDescent="0.25">
      <c r="M38" s="20"/>
      <c r="N38" s="20"/>
      <c r="O38" s="20"/>
      <c r="P38" s="20"/>
      <c r="Q38" s="20"/>
      <c r="R38" s="20"/>
      <c r="S38" s="20"/>
      <c r="T38" s="78"/>
      <c r="U38" s="77"/>
    </row>
    <row r="39" spans="2:32" x14ac:dyDescent="0.25">
      <c r="M39" s="20"/>
      <c r="N39" s="20"/>
      <c r="O39" s="20"/>
      <c r="P39" s="20"/>
      <c r="Q39" s="20"/>
      <c r="R39" s="20"/>
      <c r="S39" s="20"/>
      <c r="T39" s="78"/>
      <c r="U39" s="77"/>
    </row>
    <row r="40" spans="2:32" x14ac:dyDescent="0.25">
      <c r="M40" s="20"/>
      <c r="N40" s="20"/>
      <c r="O40" s="20"/>
      <c r="P40" s="20"/>
      <c r="Q40" s="20"/>
      <c r="R40" s="20"/>
      <c r="S40" s="20"/>
      <c r="T40" s="78"/>
      <c r="U40" s="77"/>
    </row>
    <row r="41" spans="2:32" x14ac:dyDescent="0.25">
      <c r="M41" s="20"/>
      <c r="N41" s="20"/>
      <c r="O41" s="20"/>
      <c r="P41" s="20"/>
      <c r="Q41" s="20"/>
      <c r="R41" s="20"/>
      <c r="S41" s="20"/>
      <c r="T41" s="78"/>
      <c r="U41" s="77"/>
    </row>
    <row r="42" spans="2:32" x14ac:dyDescent="0.25">
      <c r="M42" s="20"/>
      <c r="N42" s="20"/>
      <c r="O42" s="20"/>
      <c r="P42" s="20"/>
      <c r="Q42" s="20"/>
      <c r="R42" s="20"/>
      <c r="S42" s="20"/>
      <c r="T42" s="78"/>
      <c r="U42" s="77"/>
    </row>
    <row r="43" spans="2:32" x14ac:dyDescent="0.25">
      <c r="M43" s="20"/>
      <c r="N43" s="20"/>
      <c r="O43" s="20"/>
      <c r="P43" s="20"/>
      <c r="Q43" s="20"/>
      <c r="R43" s="20"/>
      <c r="S43" s="20"/>
      <c r="T43" s="78"/>
      <c r="U43" s="77"/>
    </row>
    <row r="44" spans="2:32" x14ac:dyDescent="0.25">
      <c r="M44" s="20"/>
      <c r="N44" s="20"/>
      <c r="O44" s="20"/>
      <c r="P44" s="20"/>
      <c r="Q44" s="20"/>
      <c r="R44" s="20"/>
      <c r="S44" s="20"/>
      <c r="T44" s="78"/>
      <c r="U44" s="77"/>
    </row>
    <row r="45" spans="2:32" x14ac:dyDescent="0.25">
      <c r="M45" s="20"/>
      <c r="N45" s="20"/>
      <c r="O45" s="20"/>
      <c r="P45" s="20"/>
      <c r="Q45" s="20"/>
      <c r="R45" s="20"/>
      <c r="S45" s="20"/>
      <c r="T45" s="78"/>
      <c r="U45" s="77"/>
    </row>
    <row r="46" spans="2:32" x14ac:dyDescent="0.25">
      <c r="M46" s="20"/>
      <c r="N46" s="20"/>
      <c r="O46" s="20"/>
      <c r="P46" s="20"/>
      <c r="Q46" s="20"/>
      <c r="R46" s="20"/>
      <c r="S46" s="20"/>
      <c r="T46" s="78"/>
      <c r="U46" s="77"/>
    </row>
  </sheetData>
  <mergeCells count="4">
    <mergeCell ref="E3:G3"/>
    <mergeCell ref="M3:O3"/>
    <mergeCell ref="B7:I7"/>
    <mergeCell ref="N7:R7"/>
  </mergeCells>
  <pageMargins left="0.7" right="0.7" top="0.75" bottom="0.75" header="0.51180555555555496" footer="0.51180555555555496"/>
  <pageSetup paperSize="9" firstPageNumber="0" orientation="portrait" useFirstPageNumber="1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Valeurs!$A$1:$A$2</xm:f>
          </x14:formula1>
          <xm:sqref>U25:U1029 U9:U17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3"/>
  <sheetViews>
    <sheetView workbookViewId="0">
      <selection activeCell="F27" sqref="F27"/>
    </sheetView>
  </sheetViews>
  <sheetFormatPr baseColWidth="10" defaultColWidth="9" defaultRowHeight="15" x14ac:dyDescent="0.25"/>
  <cols>
    <col min="1" max="1" width="11" style="21" customWidth="1"/>
    <col min="2" max="2" width="11" customWidth="1"/>
    <col min="3" max="3" width="17.85546875" customWidth="1"/>
    <col min="4" max="4" width="20.42578125" customWidth="1"/>
    <col min="5" max="5" width="17.85546875" customWidth="1"/>
    <col min="6" max="6" width="18.7109375" customWidth="1"/>
    <col min="7" max="9" width="11" customWidth="1"/>
    <col min="10" max="10" width="5.85546875" style="21" customWidth="1"/>
    <col min="11" max="20" width="11" style="22" customWidth="1"/>
    <col min="21" max="26" width="11" style="23" customWidth="1"/>
    <col min="27" max="1025" width="11" customWidth="1"/>
  </cols>
  <sheetData>
    <row r="1" spans="2:26" s="21" customFormat="1" x14ac:dyDescent="0.25"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4" spans="2:26" ht="32.450000000000003" customHeight="1" x14ac:dyDescent="0.25">
      <c r="B4" s="24"/>
      <c r="C4" s="25" t="s">
        <v>54</v>
      </c>
      <c r="D4" s="26" t="s">
        <v>55</v>
      </c>
      <c r="E4" s="25" t="s">
        <v>56</v>
      </c>
      <c r="F4" s="26" t="s">
        <v>57</v>
      </c>
    </row>
    <row r="5" spans="2:26" x14ac:dyDescent="0.25">
      <c r="B5" s="27" t="s">
        <v>58</v>
      </c>
      <c r="C5" s="28">
        <f ca="1">+MASSE!E3</f>
        <v>3023000</v>
      </c>
      <c r="D5" s="28">
        <f ca="1">+MASSE!M3</f>
        <v>180000</v>
      </c>
      <c r="E5" s="28">
        <f>+MASSE!AB3</f>
        <v>197000</v>
      </c>
      <c r="F5" s="28">
        <f ca="1">SUM(C5:E5)</f>
        <v>3400000</v>
      </c>
    </row>
    <row r="6" spans="2:26" x14ac:dyDescent="0.25">
      <c r="B6" s="27" t="s">
        <v>59</v>
      </c>
      <c r="C6" s="28">
        <f>+BEURRE!E3</f>
        <v>48000</v>
      </c>
      <c r="D6" s="28">
        <f ca="1">+BEURRE!M3</f>
        <v>0</v>
      </c>
      <c r="E6" s="28">
        <f>+BEURRE!AB3</f>
        <v>0</v>
      </c>
      <c r="F6" s="28">
        <f ca="1">SUM(C6:E6)</f>
        <v>48000</v>
      </c>
    </row>
    <row r="7" spans="2:26" x14ac:dyDescent="0.25">
      <c r="B7" s="27" t="s">
        <v>47</v>
      </c>
      <c r="C7" s="28">
        <f ca="1">+TOURTEAU!E3</f>
        <v>529000</v>
      </c>
      <c r="D7" s="28">
        <f ca="1">+TOURTEAU!L3</f>
        <v>34000</v>
      </c>
      <c r="E7" s="28">
        <f ca="1">+TOURTEAU!X3</f>
        <v>29000</v>
      </c>
      <c r="F7" s="28">
        <f ca="1">SUM(C7:E7)</f>
        <v>592000</v>
      </c>
    </row>
    <row r="20" spans="11:26" s="21" customFormat="1" x14ac:dyDescent="0.25"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1:26" s="22" customFormat="1" x14ac:dyDescent="0.25"/>
    <row r="22" spans="11:26" s="22" customFormat="1" x14ac:dyDescent="0.25"/>
    <row r="23" spans="11:26" s="22" customFormat="1" x14ac:dyDescent="0.25"/>
    <row r="24" spans="11:26" s="22" customFormat="1" x14ac:dyDescent="0.25"/>
    <row r="25" spans="11:26" s="22" customFormat="1" x14ac:dyDescent="0.25"/>
    <row r="26" spans="11:26" s="22" customFormat="1" x14ac:dyDescent="0.25"/>
    <row r="27" spans="11:26" s="22" customFormat="1" x14ac:dyDescent="0.25"/>
    <row r="28" spans="11:26" s="22" customFormat="1" x14ac:dyDescent="0.25"/>
    <row r="29" spans="11:26" s="22" customFormat="1" x14ac:dyDescent="0.25"/>
    <row r="30" spans="11:26" s="22" customFormat="1" x14ac:dyDescent="0.25"/>
    <row r="31" spans="11:26" s="22" customFormat="1" x14ac:dyDescent="0.25"/>
    <row r="32" spans="11:26" s="22" customFormat="1" x14ac:dyDescent="0.25"/>
    <row r="33" s="22" customFormat="1" x14ac:dyDescent="0.25"/>
    <row r="34" s="22" customFormat="1" x14ac:dyDescent="0.25"/>
    <row r="35" s="22" customFormat="1" x14ac:dyDescent="0.25"/>
    <row r="36" s="22" customFormat="1" x14ac:dyDescent="0.25"/>
    <row r="37" s="22" customFormat="1" x14ac:dyDescent="0.25"/>
    <row r="38" s="22" customFormat="1" x14ac:dyDescent="0.25"/>
    <row r="39" s="22" customFormat="1" x14ac:dyDescent="0.25"/>
    <row r="40" s="22" customFormat="1" x14ac:dyDescent="0.25"/>
    <row r="41" s="22" customFormat="1" x14ac:dyDescent="0.25"/>
    <row r="42" s="22" customFormat="1" x14ac:dyDescent="0.25"/>
    <row r="43" s="22" customFormat="1" x14ac:dyDescent="0.25"/>
    <row r="44" s="22" customFormat="1" x14ac:dyDescent="0.25"/>
    <row r="45" s="22" customFormat="1" x14ac:dyDescent="0.25"/>
    <row r="46" s="22" customFormat="1" x14ac:dyDescent="0.25"/>
    <row r="47" s="22" customFormat="1" x14ac:dyDescent="0.25"/>
    <row r="48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="22" customFormat="1" x14ac:dyDescent="0.25"/>
    <row r="98" s="22" customFormat="1" x14ac:dyDescent="0.25"/>
    <row r="99" s="22" customFormat="1" x14ac:dyDescent="0.25"/>
    <row r="100" s="22" customFormat="1" x14ac:dyDescent="0.25"/>
    <row r="101" s="22" customFormat="1" x14ac:dyDescent="0.25"/>
    <row r="102" s="22" customFormat="1" x14ac:dyDescent="0.25"/>
    <row r="103" s="22" customFormat="1" x14ac:dyDescent="0.25"/>
    <row r="104" s="22" customFormat="1" x14ac:dyDescent="0.25"/>
    <row r="105" s="22" customFormat="1" x14ac:dyDescent="0.25"/>
    <row r="106" s="22" customFormat="1" x14ac:dyDescent="0.25"/>
    <row r="107" s="22" customFormat="1" x14ac:dyDescent="0.25"/>
    <row r="108" s="22" customFormat="1" x14ac:dyDescent="0.25"/>
    <row r="109" s="22" customFormat="1" x14ac:dyDescent="0.25"/>
    <row r="110" s="22" customFormat="1" x14ac:dyDescent="0.25"/>
    <row r="111" s="22" customFormat="1" x14ac:dyDescent="0.25"/>
    <row r="112" s="22" customFormat="1" x14ac:dyDescent="0.25"/>
    <row r="113" s="22" customFormat="1" x14ac:dyDescent="0.25"/>
    <row r="114" s="22" customFormat="1" x14ac:dyDescent="0.25"/>
    <row r="115" s="22" customFormat="1" x14ac:dyDescent="0.25"/>
    <row r="116" s="22" customFormat="1" x14ac:dyDescent="0.25"/>
    <row r="117" s="22" customFormat="1" x14ac:dyDescent="0.25"/>
    <row r="118" s="22" customFormat="1" x14ac:dyDescent="0.25"/>
    <row r="119" s="22" customFormat="1" x14ac:dyDescent="0.25"/>
    <row r="120" s="22" customFormat="1" x14ac:dyDescent="0.25"/>
    <row r="121" s="22" customFormat="1" x14ac:dyDescent="0.25"/>
    <row r="122" s="22" customFormat="1" x14ac:dyDescent="0.25"/>
    <row r="123" s="22" customFormat="1" x14ac:dyDescent="0.25"/>
    <row r="124" s="22" customFormat="1" x14ac:dyDescent="0.25"/>
    <row r="125" s="22" customFormat="1" x14ac:dyDescent="0.25"/>
    <row r="126" s="22" customFormat="1" x14ac:dyDescent="0.25"/>
    <row r="127" s="22" customFormat="1" x14ac:dyDescent="0.25"/>
    <row r="128" s="22" customFormat="1" x14ac:dyDescent="0.25"/>
    <row r="129" spans="1:20" s="22" customFormat="1" x14ac:dyDescent="0.25"/>
    <row r="130" spans="1:20" s="22" customFormat="1" x14ac:dyDescent="0.25"/>
    <row r="131" spans="1:20" s="22" customFormat="1" x14ac:dyDescent="0.25"/>
    <row r="132" spans="1:20" s="22" customFormat="1" x14ac:dyDescent="0.25"/>
    <row r="133" spans="1:20" s="22" customFormat="1" x14ac:dyDescent="0.25"/>
    <row r="134" spans="1:20" s="22" customFormat="1" x14ac:dyDescent="0.25"/>
    <row r="135" spans="1:20" s="22" customFormat="1" x14ac:dyDescent="0.25"/>
    <row r="136" spans="1:20" s="22" customFormat="1" x14ac:dyDescent="0.25"/>
    <row r="137" spans="1:20" s="22" customFormat="1" x14ac:dyDescent="0.25"/>
    <row r="138" spans="1:20" s="23" customFormat="1" x14ac:dyDescent="0.25">
      <c r="A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</row>
    <row r="139" spans="1:20" s="23" customFormat="1" x14ac:dyDescent="0.25">
      <c r="A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</row>
    <row r="140" spans="1:20" s="23" customFormat="1" x14ac:dyDescent="0.25">
      <c r="A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</row>
    <row r="141" spans="1:20" s="23" customFormat="1" x14ac:dyDescent="0.25">
      <c r="A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</row>
    <row r="142" spans="1:20" s="23" customFormat="1" x14ac:dyDescent="0.25">
      <c r="A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</row>
    <row r="143" spans="1:20" s="23" customFormat="1" x14ac:dyDescent="0.25">
      <c r="A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</row>
  </sheetData>
  <sheetProtection algorithmName="SHA-512" hashValue="HSpsFgrXymyDjCREbp/6DWrCoMdVEKU3BQALpfAEkzPjmDSjPh30w09ul/m873rGbyDJL1UiNKGJ+Aaks5XMAg==" saltValue="tKoY09ZVWfrmo7YdiQgJxQ==" spinCount="100000" sheet="1" objects="1" scenarios="1"/>
  <pageMargins left="0.7" right="0.7" top="0.75" bottom="0.75" header="0.51180555555555496" footer="0.51180555555555496"/>
  <pageSetup paperSize="9" firstPageNumber="0" orientation="portrait" useFirstPageNumber="1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AA135"/>
  <sheetViews>
    <sheetView zoomScale="80" zoomScaleNormal="80" workbookViewId="0">
      <pane xSplit="4" ySplit="5" topLeftCell="E6" activePane="bottomRight" state="frozen"/>
      <selection pane="topRight"/>
      <selection pane="bottomLeft"/>
      <selection pane="bottomRight" activeCell="E25" sqref="E25"/>
    </sheetView>
  </sheetViews>
  <sheetFormatPr baseColWidth="10" defaultColWidth="9" defaultRowHeight="15" x14ac:dyDescent="0.25"/>
  <cols>
    <col min="1" max="1" width="4.5703125" customWidth="1"/>
    <col min="2" max="2" width="11" customWidth="1"/>
    <col min="3" max="3" width="8.7109375" customWidth="1"/>
    <col min="4" max="4" width="5.28515625" customWidth="1"/>
    <col min="5" max="5" width="8.7109375" customWidth="1"/>
    <col min="6" max="6" width="10.85546875" customWidth="1"/>
    <col min="7" max="7" width="11.28515625" customWidth="1"/>
    <col min="8" max="8" width="13.5703125" customWidth="1"/>
    <col min="9" max="9" width="9.42578125" customWidth="1"/>
    <col min="10" max="10" width="1.85546875" customWidth="1"/>
    <col min="11" max="11" width="11" customWidth="1"/>
    <col min="12" max="12" width="8.7109375" customWidth="1"/>
    <col min="13" max="13" width="5.28515625" customWidth="1"/>
    <col min="14" max="14" width="8.7109375" customWidth="1"/>
    <col min="15" max="15" width="10.7109375" customWidth="1"/>
    <col min="16" max="16" width="11.85546875" customWidth="1"/>
    <col min="17" max="17" width="13.42578125" customWidth="1"/>
    <col min="18" max="18" width="9.42578125" customWidth="1"/>
    <col min="19" max="19" width="1.5703125" customWidth="1"/>
    <col min="20" max="20" width="11" customWidth="1"/>
    <col min="21" max="21" width="8.7109375" customWidth="1"/>
    <col min="22" max="22" width="5.28515625" customWidth="1"/>
    <col min="23" max="23" width="8.7109375" customWidth="1"/>
    <col min="24" max="24" width="10.28515625" customWidth="1"/>
    <col min="25" max="25" width="11.85546875" customWidth="1"/>
    <col min="26" max="26" width="13.5703125" customWidth="1"/>
    <col min="27" max="27" width="10" customWidth="1"/>
    <col min="28" max="1006" width="8.7109375" customWidth="1"/>
    <col min="1007" max="1025" width="9" customWidth="1"/>
  </cols>
  <sheetData>
    <row r="2" spans="2:27" ht="25.15" customHeight="1" x14ac:dyDescent="0.25">
      <c r="B2" s="250" t="s">
        <v>58</v>
      </c>
      <c r="C2" s="250"/>
      <c r="D2" s="250"/>
      <c r="E2" s="250"/>
      <c r="F2" s="250"/>
      <c r="G2" s="250"/>
      <c r="H2" s="250"/>
      <c r="I2" s="250"/>
      <c r="K2" s="251" t="s">
        <v>59</v>
      </c>
      <c r="L2" s="251"/>
      <c r="M2" s="251"/>
      <c r="N2" s="251"/>
      <c r="O2" s="251"/>
      <c r="P2" s="251"/>
      <c r="Q2" s="251"/>
      <c r="R2" s="251"/>
      <c r="T2" s="252" t="s">
        <v>47</v>
      </c>
      <c r="U2" s="252"/>
      <c r="V2" s="252"/>
      <c r="W2" s="252"/>
      <c r="X2" s="252"/>
      <c r="Y2" s="252"/>
      <c r="Z2" s="252"/>
      <c r="AA2" s="252"/>
    </row>
    <row r="3" spans="2:27" ht="13.9" customHeight="1" x14ac:dyDescent="0.25">
      <c r="B3" s="249" t="s">
        <v>60</v>
      </c>
      <c r="C3" s="248" t="s">
        <v>61</v>
      </c>
      <c r="D3" s="248"/>
      <c r="E3" s="247" t="s">
        <v>62</v>
      </c>
      <c r="F3" s="247"/>
      <c r="G3" s="247"/>
      <c r="H3" s="247"/>
      <c r="I3" s="247"/>
      <c r="K3" s="249" t="s">
        <v>60</v>
      </c>
      <c r="L3" s="248" t="s">
        <v>61</v>
      </c>
      <c r="M3" s="248"/>
      <c r="N3" s="247" t="s">
        <v>62</v>
      </c>
      <c r="O3" s="247"/>
      <c r="P3" s="247"/>
      <c r="Q3" s="247"/>
      <c r="R3" s="247"/>
      <c r="T3" s="249" t="s">
        <v>60</v>
      </c>
      <c r="U3" s="248" t="s">
        <v>61</v>
      </c>
      <c r="V3" s="248"/>
      <c r="W3" s="247" t="s">
        <v>62</v>
      </c>
      <c r="X3" s="247"/>
      <c r="Y3" s="247"/>
      <c r="Z3" s="247"/>
      <c r="AA3" s="247"/>
    </row>
    <row r="4" spans="2:27" x14ac:dyDescent="0.25">
      <c r="B4" s="249"/>
      <c r="C4" s="248"/>
      <c r="D4" s="248"/>
      <c r="E4" s="247"/>
      <c r="F4" s="247"/>
      <c r="G4" s="247"/>
      <c r="H4" s="247"/>
      <c r="I4" s="247"/>
      <c r="K4" s="249"/>
      <c r="L4" s="248"/>
      <c r="M4" s="248"/>
      <c r="N4" s="247"/>
      <c r="O4" s="247"/>
      <c r="P4" s="247"/>
      <c r="Q4" s="247"/>
      <c r="R4" s="247"/>
      <c r="T4" s="249"/>
      <c r="U4" s="248"/>
      <c r="V4" s="248"/>
      <c r="W4" s="247"/>
      <c r="X4" s="247"/>
      <c r="Y4" s="247"/>
      <c r="Z4" s="247"/>
      <c r="AA4" s="247"/>
    </row>
    <row r="5" spans="2:27" x14ac:dyDescent="0.25">
      <c r="B5" s="5"/>
      <c r="C5" s="6"/>
      <c r="D5" s="6"/>
      <c r="E5" s="13" t="s">
        <v>63</v>
      </c>
      <c r="F5" s="13" t="s">
        <v>64</v>
      </c>
      <c r="G5" s="13" t="s">
        <v>65</v>
      </c>
      <c r="H5" s="14" t="s">
        <v>66</v>
      </c>
      <c r="I5" s="17" t="s">
        <v>67</v>
      </c>
      <c r="K5" s="18"/>
      <c r="L5" s="19"/>
      <c r="M5" s="19"/>
      <c r="N5" s="13" t="s">
        <v>63</v>
      </c>
      <c r="O5" s="13" t="s">
        <v>64</v>
      </c>
      <c r="P5" s="13" t="s">
        <v>65</v>
      </c>
      <c r="Q5" s="14" t="s">
        <v>66</v>
      </c>
      <c r="R5" s="17" t="s">
        <v>67</v>
      </c>
      <c r="T5" s="18"/>
      <c r="U5" s="19"/>
      <c r="V5" s="19"/>
      <c r="W5" s="13" t="s">
        <v>63</v>
      </c>
      <c r="X5" s="13" t="s">
        <v>64</v>
      </c>
      <c r="Y5" s="13" t="s">
        <v>65</v>
      </c>
      <c r="Z5" s="14" t="s">
        <v>66</v>
      </c>
      <c r="AA5" s="17" t="s">
        <v>67</v>
      </c>
    </row>
    <row r="6" spans="2:27" x14ac:dyDescent="0.25">
      <c r="B6" s="246">
        <v>1</v>
      </c>
      <c r="C6" s="246">
        <v>2600112301</v>
      </c>
      <c r="D6" s="246"/>
      <c r="E6" s="15" t="s">
        <v>132</v>
      </c>
      <c r="F6" s="16">
        <v>1043</v>
      </c>
      <c r="G6" s="16">
        <v>19</v>
      </c>
      <c r="H6" s="16">
        <v>18</v>
      </c>
      <c r="I6" s="11">
        <f t="shared" ref="I6:I69" si="0">+F6-SUM(G6:H6)</f>
        <v>1006</v>
      </c>
      <c r="K6" s="246">
        <v>1</v>
      </c>
      <c r="L6" s="246">
        <v>2518215401</v>
      </c>
      <c r="M6" s="246"/>
      <c r="N6" s="15" t="s">
        <v>125</v>
      </c>
      <c r="O6" s="16">
        <v>1040</v>
      </c>
      <c r="P6" s="16">
        <v>19</v>
      </c>
      <c r="Q6" s="16">
        <v>18</v>
      </c>
      <c r="R6" s="11">
        <f t="shared" ref="R6:R69" si="1">+O6-SUM(P6:Q6)</f>
        <v>1003</v>
      </c>
      <c r="T6" s="246">
        <v>1</v>
      </c>
      <c r="U6" s="246">
        <v>2522913501</v>
      </c>
      <c r="V6" s="246"/>
      <c r="W6" s="15"/>
      <c r="X6" s="16"/>
      <c r="Y6" s="16"/>
      <c r="Z6" s="16"/>
      <c r="AA6" s="11">
        <f t="shared" ref="AA6:AA69" si="2">+X6-SUM(Y6:Z6)</f>
        <v>0</v>
      </c>
    </row>
    <row r="7" spans="2:27" x14ac:dyDescent="0.25">
      <c r="B7" s="246"/>
      <c r="C7" s="246"/>
      <c r="D7" s="246"/>
      <c r="E7" s="15" t="s">
        <v>129</v>
      </c>
      <c r="F7" s="16">
        <v>1039</v>
      </c>
      <c r="G7" s="16">
        <v>19</v>
      </c>
      <c r="H7" s="16">
        <v>18</v>
      </c>
      <c r="I7" s="11">
        <f t="shared" si="0"/>
        <v>1002</v>
      </c>
      <c r="K7" s="246"/>
      <c r="L7" s="246"/>
      <c r="M7" s="246"/>
      <c r="N7" s="15" t="s">
        <v>126</v>
      </c>
      <c r="O7" s="16">
        <v>1039</v>
      </c>
      <c r="P7" s="16">
        <v>19</v>
      </c>
      <c r="Q7" s="16">
        <v>18</v>
      </c>
      <c r="R7" s="11">
        <f t="shared" si="1"/>
        <v>1002</v>
      </c>
      <c r="T7" s="246"/>
      <c r="U7" s="246"/>
      <c r="V7" s="246"/>
      <c r="W7" s="15"/>
      <c r="X7" s="16"/>
      <c r="Y7" s="16"/>
      <c r="Z7" s="16"/>
      <c r="AA7" s="11">
        <f t="shared" si="2"/>
        <v>0</v>
      </c>
    </row>
    <row r="8" spans="2:27" x14ac:dyDescent="0.25">
      <c r="B8" s="246"/>
      <c r="C8" s="246"/>
      <c r="D8" s="246"/>
      <c r="E8" s="15" t="s">
        <v>133</v>
      </c>
      <c r="F8" s="16">
        <v>1036</v>
      </c>
      <c r="G8" s="16">
        <v>19</v>
      </c>
      <c r="H8" s="16">
        <v>18</v>
      </c>
      <c r="I8" s="11">
        <f t="shared" si="0"/>
        <v>999</v>
      </c>
      <c r="K8" s="246"/>
      <c r="L8" s="246"/>
      <c r="M8" s="246"/>
      <c r="N8" s="15" t="s">
        <v>127</v>
      </c>
      <c r="O8" s="16">
        <v>1041</v>
      </c>
      <c r="P8" s="16">
        <v>19</v>
      </c>
      <c r="Q8" s="16">
        <v>18</v>
      </c>
      <c r="R8" s="11">
        <f t="shared" si="1"/>
        <v>1004</v>
      </c>
      <c r="T8" s="246"/>
      <c r="U8" s="246"/>
      <c r="V8" s="246"/>
      <c r="W8" s="15"/>
      <c r="X8" s="16"/>
      <c r="Y8" s="16"/>
      <c r="Z8" s="16"/>
      <c r="AA8" s="11">
        <f t="shared" si="2"/>
        <v>0</v>
      </c>
    </row>
    <row r="9" spans="2:27" x14ac:dyDescent="0.25">
      <c r="B9" s="246">
        <v>1</v>
      </c>
      <c r="C9" s="246">
        <v>2600312301</v>
      </c>
      <c r="D9" s="246"/>
      <c r="E9" s="15" t="s">
        <v>134</v>
      </c>
      <c r="F9" s="16">
        <v>1041</v>
      </c>
      <c r="G9" s="16">
        <v>19</v>
      </c>
      <c r="H9" s="16">
        <v>18</v>
      </c>
      <c r="I9" s="16">
        <f t="shared" si="0"/>
        <v>1004</v>
      </c>
      <c r="J9" s="20"/>
      <c r="K9" s="246">
        <v>1</v>
      </c>
      <c r="L9" s="246">
        <v>2533315401</v>
      </c>
      <c r="M9" s="246"/>
      <c r="N9" s="15" t="s">
        <v>128</v>
      </c>
      <c r="O9" s="16">
        <v>1032</v>
      </c>
      <c r="P9" s="16">
        <v>19</v>
      </c>
      <c r="Q9" s="16">
        <v>18</v>
      </c>
      <c r="R9" s="16">
        <f t="shared" si="1"/>
        <v>995</v>
      </c>
      <c r="S9" s="20"/>
      <c r="T9" s="246">
        <v>1</v>
      </c>
      <c r="U9" s="246">
        <v>2523313501</v>
      </c>
      <c r="V9" s="246"/>
      <c r="W9" s="15"/>
      <c r="X9" s="16"/>
      <c r="Y9" s="16"/>
      <c r="Z9" s="16"/>
      <c r="AA9" s="11">
        <f t="shared" si="2"/>
        <v>0</v>
      </c>
    </row>
    <row r="10" spans="2:27" x14ac:dyDescent="0.25">
      <c r="B10" s="246"/>
      <c r="C10" s="246"/>
      <c r="D10" s="246"/>
      <c r="E10" s="15" t="s">
        <v>128</v>
      </c>
      <c r="F10" s="16">
        <v>1038</v>
      </c>
      <c r="G10" s="16">
        <v>19</v>
      </c>
      <c r="H10" s="16">
        <v>18</v>
      </c>
      <c r="I10" s="16">
        <f t="shared" si="0"/>
        <v>1001</v>
      </c>
      <c r="J10" s="20"/>
      <c r="K10" s="246"/>
      <c r="L10" s="246"/>
      <c r="M10" s="246"/>
      <c r="N10" s="15" t="s">
        <v>129</v>
      </c>
      <c r="O10" s="16">
        <v>1041</v>
      </c>
      <c r="P10" s="16">
        <v>19</v>
      </c>
      <c r="Q10" s="16">
        <v>18</v>
      </c>
      <c r="R10" s="16">
        <f t="shared" si="1"/>
        <v>1004</v>
      </c>
      <c r="S10" s="20"/>
      <c r="T10" s="246"/>
      <c r="U10" s="246"/>
      <c r="V10" s="246"/>
      <c r="W10" s="15"/>
      <c r="X10" s="16"/>
      <c r="Y10" s="16"/>
      <c r="Z10" s="16"/>
      <c r="AA10" s="11">
        <f t="shared" si="2"/>
        <v>0</v>
      </c>
    </row>
    <row r="11" spans="2:27" x14ac:dyDescent="0.25">
      <c r="B11" s="246"/>
      <c r="C11" s="246"/>
      <c r="D11" s="246"/>
      <c r="E11" s="15" t="s">
        <v>135</v>
      </c>
      <c r="F11" s="16">
        <v>1037</v>
      </c>
      <c r="G11" s="16">
        <v>19</v>
      </c>
      <c r="H11" s="16">
        <v>18</v>
      </c>
      <c r="I11" s="16">
        <f t="shared" si="0"/>
        <v>1000</v>
      </c>
      <c r="J11" s="20"/>
      <c r="K11" s="246"/>
      <c r="L11" s="246"/>
      <c r="M11" s="246"/>
      <c r="N11" s="15" t="s">
        <v>130</v>
      </c>
      <c r="O11" s="16">
        <v>1043</v>
      </c>
      <c r="P11" s="16">
        <v>19</v>
      </c>
      <c r="Q11" s="16">
        <v>18</v>
      </c>
      <c r="R11" s="16">
        <f t="shared" si="1"/>
        <v>1006</v>
      </c>
      <c r="S11" s="20"/>
      <c r="T11" s="246"/>
      <c r="U11" s="246"/>
      <c r="V11" s="246"/>
      <c r="W11" s="15"/>
      <c r="X11" s="16"/>
      <c r="Y11" s="16"/>
      <c r="Z11" s="16"/>
      <c r="AA11" s="11">
        <f t="shared" si="2"/>
        <v>0</v>
      </c>
    </row>
    <row r="12" spans="2:27" x14ac:dyDescent="0.25">
      <c r="B12" s="246">
        <v>1</v>
      </c>
      <c r="C12" s="246">
        <v>2600312302</v>
      </c>
      <c r="D12" s="246"/>
      <c r="E12" s="15" t="s">
        <v>127</v>
      </c>
      <c r="F12" s="16">
        <v>1042</v>
      </c>
      <c r="G12" s="16">
        <v>19</v>
      </c>
      <c r="H12" s="16">
        <v>18</v>
      </c>
      <c r="I12" s="16">
        <f t="shared" si="0"/>
        <v>1005</v>
      </c>
      <c r="J12" s="20"/>
      <c r="K12" s="246">
        <v>1</v>
      </c>
      <c r="L12" s="246">
        <v>2611515401</v>
      </c>
      <c r="M12" s="246"/>
      <c r="N12" s="15" t="s">
        <v>68</v>
      </c>
      <c r="O12" s="16">
        <v>1039</v>
      </c>
      <c r="P12" s="16">
        <v>19</v>
      </c>
      <c r="Q12" s="16">
        <v>18</v>
      </c>
      <c r="R12" s="16">
        <f t="shared" si="1"/>
        <v>1002</v>
      </c>
      <c r="S12" s="20"/>
      <c r="T12" s="246">
        <v>1</v>
      </c>
      <c r="U12" s="246">
        <v>2523713501</v>
      </c>
      <c r="V12" s="246"/>
      <c r="W12" s="15"/>
      <c r="X12" s="16"/>
      <c r="Y12" s="16"/>
      <c r="Z12" s="16"/>
      <c r="AA12" s="11">
        <f t="shared" si="2"/>
        <v>0</v>
      </c>
    </row>
    <row r="13" spans="2:27" x14ac:dyDescent="0.25">
      <c r="B13" s="246"/>
      <c r="C13" s="246"/>
      <c r="D13" s="246"/>
      <c r="E13" s="15" t="s">
        <v>70</v>
      </c>
      <c r="F13" s="16">
        <v>1039</v>
      </c>
      <c r="G13" s="16">
        <v>19</v>
      </c>
      <c r="H13" s="16">
        <v>18</v>
      </c>
      <c r="I13" s="16">
        <f t="shared" si="0"/>
        <v>1002</v>
      </c>
      <c r="J13" s="20"/>
      <c r="K13" s="246"/>
      <c r="L13" s="246"/>
      <c r="M13" s="246"/>
      <c r="N13" s="15" t="s">
        <v>131</v>
      </c>
      <c r="O13" s="16">
        <v>1042</v>
      </c>
      <c r="P13" s="16">
        <v>19</v>
      </c>
      <c r="Q13" s="16">
        <v>18</v>
      </c>
      <c r="R13" s="16">
        <f t="shared" si="1"/>
        <v>1005</v>
      </c>
      <c r="S13" s="20"/>
      <c r="T13" s="246"/>
      <c r="U13" s="246"/>
      <c r="V13" s="246"/>
      <c r="W13" s="15"/>
      <c r="X13" s="16"/>
      <c r="Y13" s="16"/>
      <c r="Z13" s="16"/>
      <c r="AA13" s="11">
        <f t="shared" si="2"/>
        <v>0</v>
      </c>
    </row>
    <row r="14" spans="2:27" x14ac:dyDescent="0.25">
      <c r="B14" s="246"/>
      <c r="C14" s="246"/>
      <c r="D14" s="246"/>
      <c r="E14" s="15" t="s">
        <v>125</v>
      </c>
      <c r="F14" s="16">
        <v>1041</v>
      </c>
      <c r="G14" s="16">
        <v>19</v>
      </c>
      <c r="H14" s="16">
        <v>18</v>
      </c>
      <c r="I14" s="16">
        <f t="shared" si="0"/>
        <v>1004</v>
      </c>
      <c r="J14" s="20"/>
      <c r="K14" s="246"/>
      <c r="L14" s="246"/>
      <c r="M14" s="246"/>
      <c r="N14" s="15" t="s">
        <v>132</v>
      </c>
      <c r="O14" s="16">
        <v>1039</v>
      </c>
      <c r="P14" s="16">
        <v>19</v>
      </c>
      <c r="Q14" s="16">
        <v>18</v>
      </c>
      <c r="R14" s="16">
        <f t="shared" si="1"/>
        <v>1002</v>
      </c>
      <c r="S14" s="20"/>
      <c r="T14" s="246"/>
      <c r="U14" s="246"/>
      <c r="V14" s="246"/>
      <c r="W14" s="15"/>
      <c r="X14" s="16"/>
      <c r="Y14" s="16"/>
      <c r="Z14" s="16"/>
      <c r="AA14" s="11">
        <f t="shared" si="2"/>
        <v>0</v>
      </c>
    </row>
    <row r="15" spans="2:27" x14ac:dyDescent="0.25">
      <c r="B15" s="246">
        <v>1</v>
      </c>
      <c r="C15" s="246">
        <v>2600412301</v>
      </c>
      <c r="D15" s="246"/>
      <c r="E15" s="15" t="s">
        <v>126</v>
      </c>
      <c r="F15" s="16">
        <v>1040</v>
      </c>
      <c r="G15" s="16">
        <v>19</v>
      </c>
      <c r="H15" s="16">
        <v>18</v>
      </c>
      <c r="I15" s="16">
        <f t="shared" si="0"/>
        <v>1003</v>
      </c>
      <c r="J15" s="20"/>
      <c r="K15" s="246">
        <v>1</v>
      </c>
      <c r="L15" s="246"/>
      <c r="M15" s="246"/>
      <c r="N15" s="15"/>
      <c r="O15" s="16"/>
      <c r="P15" s="16"/>
      <c r="Q15" s="16"/>
      <c r="R15" s="16">
        <f t="shared" si="1"/>
        <v>0</v>
      </c>
      <c r="S15" s="20"/>
      <c r="T15" s="246">
        <v>1</v>
      </c>
      <c r="U15" s="246">
        <v>2524313501</v>
      </c>
      <c r="V15" s="246"/>
      <c r="W15" s="15"/>
      <c r="X15" s="16"/>
      <c r="Y15" s="16"/>
      <c r="Z15" s="16"/>
      <c r="AA15" s="11">
        <f t="shared" si="2"/>
        <v>0</v>
      </c>
    </row>
    <row r="16" spans="2:27" x14ac:dyDescent="0.25">
      <c r="B16" s="246"/>
      <c r="C16" s="246"/>
      <c r="D16" s="246"/>
      <c r="E16" s="15" t="s">
        <v>129</v>
      </c>
      <c r="F16" s="16">
        <v>1041</v>
      </c>
      <c r="G16" s="16">
        <v>19</v>
      </c>
      <c r="H16" s="16">
        <v>18</v>
      </c>
      <c r="I16" s="16">
        <f t="shared" si="0"/>
        <v>1004</v>
      </c>
      <c r="J16" s="20"/>
      <c r="K16" s="246"/>
      <c r="L16" s="246"/>
      <c r="M16" s="246"/>
      <c r="N16" s="15"/>
      <c r="O16" s="16"/>
      <c r="P16" s="16"/>
      <c r="Q16" s="16"/>
      <c r="R16" s="16">
        <f t="shared" si="1"/>
        <v>0</v>
      </c>
      <c r="S16" s="20"/>
      <c r="T16" s="246"/>
      <c r="U16" s="246"/>
      <c r="V16" s="246"/>
      <c r="W16" s="15"/>
      <c r="X16" s="16"/>
      <c r="Y16" s="16"/>
      <c r="Z16" s="16"/>
      <c r="AA16" s="11">
        <f t="shared" si="2"/>
        <v>0</v>
      </c>
    </row>
    <row r="17" spans="2:27" x14ac:dyDescent="0.25">
      <c r="B17" s="246"/>
      <c r="C17" s="246"/>
      <c r="D17" s="246"/>
      <c r="E17" s="15" t="s">
        <v>131</v>
      </c>
      <c r="F17" s="16">
        <v>1037</v>
      </c>
      <c r="G17" s="16">
        <v>19</v>
      </c>
      <c r="H17" s="16">
        <v>18</v>
      </c>
      <c r="I17" s="16">
        <f t="shared" si="0"/>
        <v>1000</v>
      </c>
      <c r="J17" s="20"/>
      <c r="K17" s="246"/>
      <c r="L17" s="246"/>
      <c r="M17" s="246"/>
      <c r="N17" s="15"/>
      <c r="O17" s="16"/>
      <c r="P17" s="16"/>
      <c r="Q17" s="16"/>
      <c r="R17" s="16">
        <f t="shared" si="1"/>
        <v>0</v>
      </c>
      <c r="S17" s="20"/>
      <c r="T17" s="246"/>
      <c r="U17" s="246"/>
      <c r="V17" s="246"/>
      <c r="W17" s="15"/>
      <c r="X17" s="16"/>
      <c r="Y17" s="16"/>
      <c r="Z17" s="16"/>
      <c r="AA17" s="11">
        <f t="shared" si="2"/>
        <v>0</v>
      </c>
    </row>
    <row r="18" spans="2:27" x14ac:dyDescent="0.25">
      <c r="B18" s="246">
        <v>1</v>
      </c>
      <c r="C18" s="246">
        <v>2600512301</v>
      </c>
      <c r="D18" s="246"/>
      <c r="E18" s="15" t="s">
        <v>130</v>
      </c>
      <c r="F18" s="16">
        <v>1042</v>
      </c>
      <c r="G18" s="16">
        <v>19</v>
      </c>
      <c r="H18" s="16">
        <v>18</v>
      </c>
      <c r="I18" s="16">
        <f t="shared" si="0"/>
        <v>1005</v>
      </c>
      <c r="J18" s="20"/>
      <c r="K18" s="246">
        <v>1</v>
      </c>
      <c r="L18" s="246"/>
      <c r="M18" s="246"/>
      <c r="N18" s="15"/>
      <c r="O18" s="16"/>
      <c r="P18" s="16"/>
      <c r="Q18" s="16"/>
      <c r="R18" s="16">
        <f t="shared" si="1"/>
        <v>0</v>
      </c>
      <c r="S18" s="20"/>
      <c r="T18" s="246">
        <v>1</v>
      </c>
      <c r="U18" s="246">
        <v>2524613501</v>
      </c>
      <c r="V18" s="246"/>
      <c r="W18" s="15"/>
      <c r="X18" s="16"/>
      <c r="Y18" s="16"/>
      <c r="Z18" s="16"/>
      <c r="AA18" s="11">
        <f t="shared" si="2"/>
        <v>0</v>
      </c>
    </row>
    <row r="19" spans="2:27" x14ac:dyDescent="0.25">
      <c r="B19" s="246"/>
      <c r="C19" s="246"/>
      <c r="D19" s="246"/>
      <c r="E19" s="15" t="s">
        <v>136</v>
      </c>
      <c r="F19" s="16">
        <v>1039</v>
      </c>
      <c r="G19" s="16">
        <v>19</v>
      </c>
      <c r="H19" s="16">
        <v>18</v>
      </c>
      <c r="I19" s="16">
        <f t="shared" si="0"/>
        <v>1002</v>
      </c>
      <c r="J19" s="20"/>
      <c r="K19" s="246"/>
      <c r="L19" s="246"/>
      <c r="M19" s="246"/>
      <c r="N19" s="15"/>
      <c r="O19" s="16"/>
      <c r="P19" s="16"/>
      <c r="Q19" s="16"/>
      <c r="R19" s="16">
        <f t="shared" si="1"/>
        <v>0</v>
      </c>
      <c r="S19" s="20"/>
      <c r="T19" s="246"/>
      <c r="U19" s="246"/>
      <c r="V19" s="246"/>
      <c r="W19" s="15"/>
      <c r="X19" s="16"/>
      <c r="Y19" s="16"/>
      <c r="Z19" s="16"/>
      <c r="AA19" s="11">
        <f t="shared" si="2"/>
        <v>0</v>
      </c>
    </row>
    <row r="20" spans="2:27" x14ac:dyDescent="0.25">
      <c r="B20" s="246"/>
      <c r="C20" s="246"/>
      <c r="D20" s="246"/>
      <c r="E20" s="15" t="s">
        <v>128</v>
      </c>
      <c r="F20" s="16">
        <v>1040</v>
      </c>
      <c r="G20" s="16">
        <v>19</v>
      </c>
      <c r="H20" s="16">
        <v>18</v>
      </c>
      <c r="I20" s="16">
        <f t="shared" si="0"/>
        <v>1003</v>
      </c>
      <c r="J20" s="20"/>
      <c r="K20" s="246"/>
      <c r="L20" s="246"/>
      <c r="M20" s="246"/>
      <c r="N20" s="15"/>
      <c r="O20" s="16"/>
      <c r="P20" s="16"/>
      <c r="Q20" s="16"/>
      <c r="R20" s="16">
        <f t="shared" si="1"/>
        <v>0</v>
      </c>
      <c r="S20" s="20"/>
      <c r="T20" s="246"/>
      <c r="U20" s="246"/>
      <c r="V20" s="246"/>
      <c r="W20" s="15"/>
      <c r="X20" s="16"/>
      <c r="Y20" s="16"/>
      <c r="Z20" s="16"/>
      <c r="AA20" s="11">
        <f t="shared" si="2"/>
        <v>0</v>
      </c>
    </row>
    <row r="21" spans="2:27" x14ac:dyDescent="0.25">
      <c r="B21" s="246">
        <v>1</v>
      </c>
      <c r="C21" s="246">
        <v>2606212301</v>
      </c>
      <c r="D21" s="246"/>
      <c r="E21" s="15"/>
      <c r="F21" s="16"/>
      <c r="G21" s="16"/>
      <c r="H21" s="16"/>
      <c r="I21" s="16">
        <f t="shared" si="0"/>
        <v>0</v>
      </c>
      <c r="J21" s="20"/>
      <c r="K21" s="246">
        <v>1</v>
      </c>
      <c r="L21" s="246"/>
      <c r="M21" s="246"/>
      <c r="N21" s="15"/>
      <c r="O21" s="16"/>
      <c r="P21" s="16"/>
      <c r="Q21" s="16"/>
      <c r="R21" s="16">
        <f t="shared" si="1"/>
        <v>0</v>
      </c>
      <c r="S21" s="20"/>
      <c r="T21" s="246">
        <v>1</v>
      </c>
      <c r="U21" s="246">
        <v>2526713501</v>
      </c>
      <c r="V21" s="246"/>
      <c r="W21" s="15"/>
      <c r="X21" s="16"/>
      <c r="Y21" s="16"/>
      <c r="Z21" s="16"/>
      <c r="AA21" s="11">
        <f t="shared" si="2"/>
        <v>0</v>
      </c>
    </row>
    <row r="22" spans="2:27" x14ac:dyDescent="0.25">
      <c r="B22" s="246"/>
      <c r="C22" s="246"/>
      <c r="D22" s="246"/>
      <c r="E22" s="15"/>
      <c r="F22" s="16"/>
      <c r="G22" s="16"/>
      <c r="H22" s="16"/>
      <c r="I22" s="16">
        <f t="shared" si="0"/>
        <v>0</v>
      </c>
      <c r="J22" s="20"/>
      <c r="K22" s="246"/>
      <c r="L22" s="246"/>
      <c r="M22" s="246"/>
      <c r="N22" s="15"/>
      <c r="O22" s="16"/>
      <c r="P22" s="16"/>
      <c r="Q22" s="16"/>
      <c r="R22" s="16">
        <f t="shared" si="1"/>
        <v>0</v>
      </c>
      <c r="S22" s="20"/>
      <c r="T22" s="246"/>
      <c r="U22" s="246"/>
      <c r="V22" s="246"/>
      <c r="W22" s="15"/>
      <c r="X22" s="16"/>
      <c r="Y22" s="16"/>
      <c r="Z22" s="16"/>
      <c r="AA22" s="11">
        <f t="shared" si="2"/>
        <v>0</v>
      </c>
    </row>
    <row r="23" spans="2:27" x14ac:dyDescent="0.25">
      <c r="B23" s="246"/>
      <c r="C23" s="246"/>
      <c r="D23" s="246"/>
      <c r="E23" s="15"/>
      <c r="F23" s="16"/>
      <c r="G23" s="16"/>
      <c r="H23" s="16"/>
      <c r="I23" s="16">
        <f t="shared" si="0"/>
        <v>0</v>
      </c>
      <c r="J23" s="20"/>
      <c r="K23" s="246"/>
      <c r="L23" s="246"/>
      <c r="M23" s="246"/>
      <c r="N23" s="15"/>
      <c r="O23" s="16"/>
      <c r="P23" s="16"/>
      <c r="Q23" s="16"/>
      <c r="R23" s="16">
        <f t="shared" si="1"/>
        <v>0</v>
      </c>
      <c r="S23" s="20"/>
      <c r="T23" s="246"/>
      <c r="U23" s="246"/>
      <c r="V23" s="246"/>
      <c r="W23" s="15"/>
      <c r="X23" s="16"/>
      <c r="Y23" s="16"/>
      <c r="Z23" s="16"/>
      <c r="AA23" s="11">
        <f t="shared" si="2"/>
        <v>0</v>
      </c>
    </row>
    <row r="24" spans="2:27" x14ac:dyDescent="0.25">
      <c r="B24" s="246">
        <v>1</v>
      </c>
      <c r="C24" s="246"/>
      <c r="D24" s="246"/>
      <c r="E24" s="15"/>
      <c r="F24" s="16"/>
      <c r="G24" s="16"/>
      <c r="H24" s="16"/>
      <c r="I24" s="16">
        <f t="shared" si="0"/>
        <v>0</v>
      </c>
      <c r="J24" s="20"/>
      <c r="K24" s="246">
        <v>1</v>
      </c>
      <c r="L24" s="246"/>
      <c r="M24" s="246"/>
      <c r="N24" s="15"/>
      <c r="O24" s="16"/>
      <c r="P24" s="16"/>
      <c r="Q24" s="16"/>
      <c r="R24" s="16">
        <f t="shared" si="1"/>
        <v>0</v>
      </c>
      <c r="S24" s="20"/>
      <c r="T24" s="246">
        <v>1</v>
      </c>
      <c r="U24" s="246">
        <v>2527013501</v>
      </c>
      <c r="V24" s="246"/>
      <c r="W24" s="15"/>
      <c r="X24" s="16"/>
      <c r="Y24" s="16"/>
      <c r="Z24" s="16"/>
      <c r="AA24" s="11">
        <f t="shared" si="2"/>
        <v>0</v>
      </c>
    </row>
    <row r="25" spans="2:27" x14ac:dyDescent="0.25">
      <c r="B25" s="246"/>
      <c r="C25" s="246"/>
      <c r="D25" s="246"/>
      <c r="E25" s="15"/>
      <c r="F25" s="16"/>
      <c r="G25" s="16"/>
      <c r="H25" s="16"/>
      <c r="I25" s="16">
        <f t="shared" si="0"/>
        <v>0</v>
      </c>
      <c r="J25" s="20"/>
      <c r="K25" s="246"/>
      <c r="L25" s="246"/>
      <c r="M25" s="246"/>
      <c r="N25" s="15"/>
      <c r="O25" s="16"/>
      <c r="P25" s="16"/>
      <c r="Q25" s="16"/>
      <c r="R25" s="16">
        <f t="shared" si="1"/>
        <v>0</v>
      </c>
      <c r="S25" s="20"/>
      <c r="T25" s="246"/>
      <c r="U25" s="246"/>
      <c r="V25" s="246"/>
      <c r="W25" s="15"/>
      <c r="X25" s="16"/>
      <c r="Y25" s="16"/>
      <c r="Z25" s="16"/>
      <c r="AA25" s="11">
        <f t="shared" si="2"/>
        <v>0</v>
      </c>
    </row>
    <row r="26" spans="2:27" x14ac:dyDescent="0.25">
      <c r="B26" s="246"/>
      <c r="C26" s="246"/>
      <c r="D26" s="246"/>
      <c r="E26" s="15"/>
      <c r="F26" s="16"/>
      <c r="G26" s="16"/>
      <c r="H26" s="16"/>
      <c r="I26" s="16">
        <f t="shared" si="0"/>
        <v>0</v>
      </c>
      <c r="J26" s="20"/>
      <c r="K26" s="246"/>
      <c r="L26" s="246"/>
      <c r="M26" s="246"/>
      <c r="N26" s="15"/>
      <c r="O26" s="16"/>
      <c r="P26" s="16"/>
      <c r="Q26" s="16"/>
      <c r="R26" s="16">
        <f t="shared" si="1"/>
        <v>0</v>
      </c>
      <c r="S26" s="20"/>
      <c r="T26" s="246"/>
      <c r="U26" s="246"/>
      <c r="V26" s="246"/>
      <c r="W26" s="15"/>
      <c r="X26" s="16"/>
      <c r="Y26" s="16"/>
      <c r="Z26" s="16"/>
      <c r="AA26" s="11">
        <f t="shared" si="2"/>
        <v>0</v>
      </c>
    </row>
    <row r="27" spans="2:27" x14ac:dyDescent="0.25">
      <c r="B27" s="246">
        <v>1</v>
      </c>
      <c r="C27" s="246"/>
      <c r="D27" s="246"/>
      <c r="E27" s="15"/>
      <c r="F27" s="16"/>
      <c r="G27" s="16"/>
      <c r="H27" s="16"/>
      <c r="I27" s="16">
        <f t="shared" si="0"/>
        <v>0</v>
      </c>
      <c r="J27" s="20"/>
      <c r="K27" s="246">
        <v>1</v>
      </c>
      <c r="L27" s="246"/>
      <c r="M27" s="246"/>
      <c r="N27" s="15"/>
      <c r="O27" s="16"/>
      <c r="P27" s="16"/>
      <c r="Q27" s="16"/>
      <c r="R27" s="16">
        <f t="shared" si="1"/>
        <v>0</v>
      </c>
      <c r="S27" s="20"/>
      <c r="T27" s="246">
        <v>1</v>
      </c>
      <c r="U27" s="246">
        <v>2527413501</v>
      </c>
      <c r="V27" s="246"/>
      <c r="W27" s="15"/>
      <c r="X27" s="16"/>
      <c r="Y27" s="16"/>
      <c r="Z27" s="16"/>
      <c r="AA27" s="11">
        <f t="shared" si="2"/>
        <v>0</v>
      </c>
    </row>
    <row r="28" spans="2:27" x14ac:dyDescent="0.25">
      <c r="B28" s="246"/>
      <c r="C28" s="246"/>
      <c r="D28" s="246"/>
      <c r="E28" s="15"/>
      <c r="F28" s="16"/>
      <c r="G28" s="16"/>
      <c r="H28" s="16"/>
      <c r="I28" s="16">
        <f t="shared" si="0"/>
        <v>0</v>
      </c>
      <c r="J28" s="20"/>
      <c r="K28" s="246"/>
      <c r="L28" s="246"/>
      <c r="M28" s="246"/>
      <c r="N28" s="15"/>
      <c r="O28" s="16"/>
      <c r="P28" s="16"/>
      <c r="Q28" s="16"/>
      <c r="R28" s="16">
        <f t="shared" si="1"/>
        <v>0</v>
      </c>
      <c r="S28" s="20"/>
      <c r="T28" s="246"/>
      <c r="U28" s="246"/>
      <c r="V28" s="246"/>
      <c r="W28" s="15"/>
      <c r="X28" s="16"/>
      <c r="Y28" s="16"/>
      <c r="Z28" s="16"/>
      <c r="AA28" s="11">
        <f t="shared" si="2"/>
        <v>0</v>
      </c>
    </row>
    <row r="29" spans="2:27" x14ac:dyDescent="0.25">
      <c r="B29" s="246"/>
      <c r="C29" s="246"/>
      <c r="D29" s="246"/>
      <c r="E29" s="15"/>
      <c r="F29" s="16"/>
      <c r="G29" s="16"/>
      <c r="H29" s="16"/>
      <c r="I29" s="16">
        <f t="shared" si="0"/>
        <v>0</v>
      </c>
      <c r="J29" s="20"/>
      <c r="K29" s="246"/>
      <c r="L29" s="246"/>
      <c r="M29" s="246"/>
      <c r="N29" s="15"/>
      <c r="O29" s="16"/>
      <c r="P29" s="16"/>
      <c r="Q29" s="16"/>
      <c r="R29" s="16">
        <f t="shared" si="1"/>
        <v>0</v>
      </c>
      <c r="S29" s="20"/>
      <c r="T29" s="246"/>
      <c r="U29" s="246"/>
      <c r="V29" s="246"/>
      <c r="W29" s="15"/>
      <c r="X29" s="16"/>
      <c r="Y29" s="16"/>
      <c r="Z29" s="16"/>
      <c r="AA29" s="11">
        <f t="shared" si="2"/>
        <v>0</v>
      </c>
    </row>
    <row r="30" spans="2:27" x14ac:dyDescent="0.25">
      <c r="B30" s="246">
        <v>1</v>
      </c>
      <c r="C30" s="246"/>
      <c r="D30" s="246"/>
      <c r="E30" s="15"/>
      <c r="F30" s="16"/>
      <c r="G30" s="16"/>
      <c r="H30" s="16"/>
      <c r="I30" s="16">
        <f t="shared" si="0"/>
        <v>0</v>
      </c>
      <c r="J30" s="20"/>
      <c r="K30" s="246">
        <v>1</v>
      </c>
      <c r="L30" s="246"/>
      <c r="M30" s="246"/>
      <c r="N30" s="15"/>
      <c r="O30" s="16"/>
      <c r="P30" s="16"/>
      <c r="Q30" s="16"/>
      <c r="R30" s="16">
        <f t="shared" si="1"/>
        <v>0</v>
      </c>
      <c r="S30" s="20"/>
      <c r="T30" s="246">
        <v>1</v>
      </c>
      <c r="U30" s="246">
        <v>2528513501</v>
      </c>
      <c r="V30" s="246"/>
      <c r="W30" s="15"/>
      <c r="X30" s="16"/>
      <c r="Y30" s="16"/>
      <c r="Z30" s="16"/>
      <c r="AA30" s="11">
        <f t="shared" si="2"/>
        <v>0</v>
      </c>
    </row>
    <row r="31" spans="2:27" x14ac:dyDescent="0.25">
      <c r="B31" s="246"/>
      <c r="C31" s="246"/>
      <c r="D31" s="246"/>
      <c r="E31" s="15"/>
      <c r="F31" s="16"/>
      <c r="G31" s="16"/>
      <c r="H31" s="16"/>
      <c r="I31" s="16">
        <f t="shared" si="0"/>
        <v>0</v>
      </c>
      <c r="J31" s="20"/>
      <c r="K31" s="246"/>
      <c r="L31" s="246"/>
      <c r="M31" s="246"/>
      <c r="N31" s="15"/>
      <c r="O31" s="16"/>
      <c r="P31" s="16"/>
      <c r="Q31" s="16"/>
      <c r="R31" s="16">
        <f t="shared" si="1"/>
        <v>0</v>
      </c>
      <c r="S31" s="20"/>
      <c r="T31" s="246"/>
      <c r="U31" s="246"/>
      <c r="V31" s="246"/>
      <c r="W31" s="15"/>
      <c r="X31" s="16"/>
      <c r="Y31" s="16"/>
      <c r="Z31" s="16"/>
      <c r="AA31" s="11">
        <f t="shared" si="2"/>
        <v>0</v>
      </c>
    </row>
    <row r="32" spans="2:27" x14ac:dyDescent="0.25">
      <c r="B32" s="246"/>
      <c r="C32" s="246"/>
      <c r="D32" s="246"/>
      <c r="E32" s="15"/>
      <c r="F32" s="16"/>
      <c r="G32" s="16"/>
      <c r="H32" s="16"/>
      <c r="I32" s="16">
        <f t="shared" si="0"/>
        <v>0</v>
      </c>
      <c r="J32" s="20"/>
      <c r="K32" s="246"/>
      <c r="L32" s="246"/>
      <c r="M32" s="246"/>
      <c r="N32" s="15"/>
      <c r="O32" s="16"/>
      <c r="P32" s="16"/>
      <c r="Q32" s="16"/>
      <c r="R32" s="16">
        <f t="shared" si="1"/>
        <v>0</v>
      </c>
      <c r="S32" s="20"/>
      <c r="T32" s="246"/>
      <c r="U32" s="246"/>
      <c r="V32" s="246"/>
      <c r="W32" s="15"/>
      <c r="X32" s="16"/>
      <c r="Y32" s="16"/>
      <c r="Z32" s="16"/>
      <c r="AA32" s="11">
        <f t="shared" si="2"/>
        <v>0</v>
      </c>
    </row>
    <row r="33" spans="2:27" x14ac:dyDescent="0.25">
      <c r="B33" s="246">
        <v>1</v>
      </c>
      <c r="C33" s="246"/>
      <c r="D33" s="246"/>
      <c r="E33" s="15"/>
      <c r="F33" s="16"/>
      <c r="G33" s="16"/>
      <c r="H33" s="16"/>
      <c r="I33" s="16">
        <f t="shared" si="0"/>
        <v>0</v>
      </c>
      <c r="J33" s="20"/>
      <c r="K33" s="246">
        <v>1</v>
      </c>
      <c r="L33" s="246"/>
      <c r="M33" s="246"/>
      <c r="N33" s="15"/>
      <c r="O33" s="16"/>
      <c r="P33" s="16"/>
      <c r="Q33" s="16"/>
      <c r="R33" s="16">
        <f t="shared" si="1"/>
        <v>0</v>
      </c>
      <c r="S33" s="20"/>
      <c r="T33" s="246">
        <v>1</v>
      </c>
      <c r="U33" s="246">
        <v>2528713501</v>
      </c>
      <c r="V33" s="246"/>
      <c r="W33" s="15"/>
      <c r="X33" s="16"/>
      <c r="Y33" s="16"/>
      <c r="Z33" s="16"/>
      <c r="AA33" s="11">
        <f t="shared" si="2"/>
        <v>0</v>
      </c>
    </row>
    <row r="34" spans="2:27" x14ac:dyDescent="0.25">
      <c r="B34" s="246"/>
      <c r="C34" s="246"/>
      <c r="D34" s="246"/>
      <c r="E34" s="15"/>
      <c r="F34" s="16"/>
      <c r="G34" s="16"/>
      <c r="H34" s="16"/>
      <c r="I34" s="16">
        <f t="shared" si="0"/>
        <v>0</v>
      </c>
      <c r="J34" s="20"/>
      <c r="K34" s="246"/>
      <c r="L34" s="246"/>
      <c r="M34" s="246"/>
      <c r="N34" s="15"/>
      <c r="O34" s="16"/>
      <c r="P34" s="16"/>
      <c r="Q34" s="16"/>
      <c r="R34" s="16">
        <f t="shared" si="1"/>
        <v>0</v>
      </c>
      <c r="S34" s="20"/>
      <c r="T34" s="246"/>
      <c r="U34" s="246"/>
      <c r="V34" s="246"/>
      <c r="W34" s="15"/>
      <c r="X34" s="16"/>
      <c r="Y34" s="16"/>
      <c r="Z34" s="16"/>
      <c r="AA34" s="11">
        <f t="shared" si="2"/>
        <v>0</v>
      </c>
    </row>
    <row r="35" spans="2:27" x14ac:dyDescent="0.25">
      <c r="B35" s="246"/>
      <c r="C35" s="246"/>
      <c r="D35" s="246"/>
      <c r="E35" s="15"/>
      <c r="F35" s="16"/>
      <c r="G35" s="16"/>
      <c r="H35" s="16"/>
      <c r="I35" s="16">
        <f t="shared" si="0"/>
        <v>0</v>
      </c>
      <c r="J35" s="20"/>
      <c r="K35" s="246"/>
      <c r="L35" s="246"/>
      <c r="M35" s="246"/>
      <c r="N35" s="15"/>
      <c r="O35" s="16"/>
      <c r="P35" s="16"/>
      <c r="Q35" s="16"/>
      <c r="R35" s="16">
        <f t="shared" si="1"/>
        <v>0</v>
      </c>
      <c r="S35" s="20"/>
      <c r="T35" s="246"/>
      <c r="U35" s="246"/>
      <c r="V35" s="246"/>
      <c r="W35" s="15"/>
      <c r="X35" s="16"/>
      <c r="Y35" s="16"/>
      <c r="Z35" s="16"/>
      <c r="AA35" s="11">
        <f t="shared" si="2"/>
        <v>0</v>
      </c>
    </row>
    <row r="36" spans="2:27" x14ac:dyDescent="0.25">
      <c r="B36" s="246">
        <v>1</v>
      </c>
      <c r="C36" s="246"/>
      <c r="D36" s="246"/>
      <c r="E36" s="15"/>
      <c r="F36" s="16"/>
      <c r="G36" s="16"/>
      <c r="H36" s="16"/>
      <c r="I36" s="16">
        <f t="shared" si="0"/>
        <v>0</v>
      </c>
      <c r="J36" s="20"/>
      <c r="K36" s="246">
        <v>1</v>
      </c>
      <c r="L36" s="246"/>
      <c r="M36" s="246"/>
      <c r="N36" s="15"/>
      <c r="O36" s="16"/>
      <c r="P36" s="16"/>
      <c r="Q36" s="16"/>
      <c r="R36" s="16">
        <f t="shared" si="1"/>
        <v>0</v>
      </c>
      <c r="S36" s="20"/>
      <c r="T36" s="246">
        <v>1</v>
      </c>
      <c r="U36" s="246">
        <v>2529113501</v>
      </c>
      <c r="V36" s="246"/>
      <c r="W36" s="15"/>
      <c r="X36" s="16"/>
      <c r="Y36" s="16"/>
      <c r="Z36" s="16"/>
      <c r="AA36" s="11">
        <f t="shared" si="2"/>
        <v>0</v>
      </c>
    </row>
    <row r="37" spans="2:27" x14ac:dyDescent="0.25">
      <c r="B37" s="246"/>
      <c r="C37" s="246"/>
      <c r="D37" s="246"/>
      <c r="E37" s="15"/>
      <c r="F37" s="16"/>
      <c r="G37" s="16"/>
      <c r="H37" s="16"/>
      <c r="I37" s="16">
        <f t="shared" si="0"/>
        <v>0</v>
      </c>
      <c r="J37" s="20"/>
      <c r="K37" s="246"/>
      <c r="L37" s="246"/>
      <c r="M37" s="246"/>
      <c r="N37" s="15"/>
      <c r="O37" s="16"/>
      <c r="P37" s="16"/>
      <c r="Q37" s="16"/>
      <c r="R37" s="16">
        <f t="shared" si="1"/>
        <v>0</v>
      </c>
      <c r="S37" s="20"/>
      <c r="T37" s="246"/>
      <c r="U37" s="246"/>
      <c r="V37" s="246"/>
      <c r="W37" s="15"/>
      <c r="X37" s="16"/>
      <c r="Y37" s="16"/>
      <c r="Z37" s="16"/>
      <c r="AA37" s="11">
        <f t="shared" si="2"/>
        <v>0</v>
      </c>
    </row>
    <row r="38" spans="2:27" x14ac:dyDescent="0.25">
      <c r="B38" s="246"/>
      <c r="C38" s="246"/>
      <c r="D38" s="246"/>
      <c r="E38" s="15"/>
      <c r="F38" s="16"/>
      <c r="G38" s="16"/>
      <c r="H38" s="16"/>
      <c r="I38" s="16">
        <f t="shared" si="0"/>
        <v>0</v>
      </c>
      <c r="J38" s="20"/>
      <c r="K38" s="246"/>
      <c r="L38" s="246"/>
      <c r="M38" s="246"/>
      <c r="N38" s="15"/>
      <c r="O38" s="16"/>
      <c r="P38" s="16"/>
      <c r="Q38" s="16"/>
      <c r="R38" s="16">
        <f t="shared" si="1"/>
        <v>0</v>
      </c>
      <c r="S38" s="20"/>
      <c r="T38" s="246"/>
      <c r="U38" s="246"/>
      <c r="V38" s="246"/>
      <c r="W38" s="15"/>
      <c r="X38" s="16"/>
      <c r="Y38" s="16"/>
      <c r="Z38" s="16"/>
      <c r="AA38" s="11">
        <f t="shared" si="2"/>
        <v>0</v>
      </c>
    </row>
    <row r="39" spans="2:27" x14ac:dyDescent="0.25">
      <c r="B39" s="246">
        <v>1</v>
      </c>
      <c r="C39" s="246"/>
      <c r="D39" s="246"/>
      <c r="E39" s="15"/>
      <c r="F39" s="16"/>
      <c r="G39" s="16"/>
      <c r="H39" s="16"/>
      <c r="I39" s="16">
        <f t="shared" si="0"/>
        <v>0</v>
      </c>
      <c r="J39" s="20"/>
      <c r="K39" s="246">
        <v>1</v>
      </c>
      <c r="L39" s="246"/>
      <c r="M39" s="246"/>
      <c r="N39" s="15"/>
      <c r="O39" s="16"/>
      <c r="P39" s="16"/>
      <c r="Q39" s="16"/>
      <c r="R39" s="16">
        <f t="shared" si="1"/>
        <v>0</v>
      </c>
      <c r="S39" s="20"/>
      <c r="T39" s="246">
        <v>1</v>
      </c>
      <c r="U39" s="246">
        <v>2529413501</v>
      </c>
      <c r="V39" s="246"/>
      <c r="W39" s="15"/>
      <c r="X39" s="16"/>
      <c r="Y39" s="16"/>
      <c r="Z39" s="16"/>
      <c r="AA39" s="11">
        <f t="shared" si="2"/>
        <v>0</v>
      </c>
    </row>
    <row r="40" spans="2:27" x14ac:dyDescent="0.25">
      <c r="B40" s="246"/>
      <c r="C40" s="246"/>
      <c r="D40" s="246"/>
      <c r="E40" s="15"/>
      <c r="F40" s="16"/>
      <c r="G40" s="16"/>
      <c r="H40" s="16"/>
      <c r="I40" s="16">
        <f t="shared" si="0"/>
        <v>0</v>
      </c>
      <c r="J40" s="20"/>
      <c r="K40" s="246"/>
      <c r="L40" s="246"/>
      <c r="M40" s="246"/>
      <c r="N40" s="15"/>
      <c r="O40" s="16"/>
      <c r="P40" s="16"/>
      <c r="Q40" s="16"/>
      <c r="R40" s="16">
        <f t="shared" si="1"/>
        <v>0</v>
      </c>
      <c r="S40" s="20"/>
      <c r="T40" s="246"/>
      <c r="U40" s="246"/>
      <c r="V40" s="246"/>
      <c r="W40" s="15"/>
      <c r="X40" s="16"/>
      <c r="Y40" s="16"/>
      <c r="Z40" s="16"/>
      <c r="AA40" s="11">
        <f t="shared" si="2"/>
        <v>0</v>
      </c>
    </row>
    <row r="41" spans="2:27" x14ac:dyDescent="0.25">
      <c r="B41" s="246"/>
      <c r="C41" s="246"/>
      <c r="D41" s="246"/>
      <c r="E41" s="15"/>
      <c r="F41" s="16"/>
      <c r="G41" s="16"/>
      <c r="H41" s="16"/>
      <c r="I41" s="16">
        <f t="shared" si="0"/>
        <v>0</v>
      </c>
      <c r="J41" s="20"/>
      <c r="K41" s="246"/>
      <c r="L41" s="246"/>
      <c r="M41" s="246"/>
      <c r="N41" s="15"/>
      <c r="O41" s="16"/>
      <c r="P41" s="16"/>
      <c r="Q41" s="16"/>
      <c r="R41" s="16">
        <f t="shared" si="1"/>
        <v>0</v>
      </c>
      <c r="S41" s="20"/>
      <c r="T41" s="246"/>
      <c r="U41" s="246"/>
      <c r="V41" s="246"/>
      <c r="W41" s="15"/>
      <c r="X41" s="16"/>
      <c r="Y41" s="16"/>
      <c r="Z41" s="16"/>
      <c r="AA41" s="11">
        <f t="shared" si="2"/>
        <v>0</v>
      </c>
    </row>
    <row r="42" spans="2:27" x14ac:dyDescent="0.25">
      <c r="B42" s="246">
        <v>1</v>
      </c>
      <c r="C42" s="246"/>
      <c r="D42" s="246"/>
      <c r="E42" s="15"/>
      <c r="F42" s="16"/>
      <c r="G42" s="16"/>
      <c r="H42" s="16"/>
      <c r="I42" s="16">
        <f t="shared" si="0"/>
        <v>0</v>
      </c>
      <c r="J42" s="20"/>
      <c r="K42" s="246">
        <v>1</v>
      </c>
      <c r="L42" s="246"/>
      <c r="M42" s="246"/>
      <c r="N42" s="15"/>
      <c r="O42" s="16"/>
      <c r="P42" s="16"/>
      <c r="Q42" s="16"/>
      <c r="R42" s="16">
        <f t="shared" si="1"/>
        <v>0</v>
      </c>
      <c r="S42" s="20"/>
      <c r="T42" s="246">
        <v>1</v>
      </c>
      <c r="U42" s="246">
        <v>2529713501</v>
      </c>
      <c r="V42" s="246"/>
      <c r="W42" s="15"/>
      <c r="X42" s="16"/>
      <c r="Y42" s="16"/>
      <c r="Z42" s="16"/>
      <c r="AA42" s="11">
        <f t="shared" si="2"/>
        <v>0</v>
      </c>
    </row>
    <row r="43" spans="2:27" x14ac:dyDescent="0.25">
      <c r="B43" s="246"/>
      <c r="C43" s="246"/>
      <c r="D43" s="246"/>
      <c r="E43" s="15"/>
      <c r="F43" s="16"/>
      <c r="G43" s="16"/>
      <c r="H43" s="16"/>
      <c r="I43" s="16">
        <f t="shared" si="0"/>
        <v>0</v>
      </c>
      <c r="J43" s="20"/>
      <c r="K43" s="246"/>
      <c r="L43" s="246"/>
      <c r="M43" s="246"/>
      <c r="N43" s="15"/>
      <c r="O43" s="16"/>
      <c r="P43" s="16"/>
      <c r="Q43" s="16"/>
      <c r="R43" s="16">
        <f t="shared" si="1"/>
        <v>0</v>
      </c>
      <c r="S43" s="20"/>
      <c r="T43" s="246"/>
      <c r="U43" s="246"/>
      <c r="V43" s="246"/>
      <c r="W43" s="15"/>
      <c r="X43" s="16"/>
      <c r="Y43" s="16"/>
      <c r="Z43" s="16"/>
      <c r="AA43" s="11">
        <f t="shared" si="2"/>
        <v>0</v>
      </c>
    </row>
    <row r="44" spans="2:27" x14ac:dyDescent="0.25">
      <c r="B44" s="246"/>
      <c r="C44" s="246"/>
      <c r="D44" s="246"/>
      <c r="E44" s="15"/>
      <c r="F44" s="16"/>
      <c r="G44" s="16"/>
      <c r="H44" s="16"/>
      <c r="I44" s="16">
        <f t="shared" si="0"/>
        <v>0</v>
      </c>
      <c r="J44" s="20"/>
      <c r="K44" s="246"/>
      <c r="L44" s="246"/>
      <c r="M44" s="246"/>
      <c r="N44" s="15"/>
      <c r="O44" s="16"/>
      <c r="P44" s="16"/>
      <c r="Q44" s="16"/>
      <c r="R44" s="16">
        <f t="shared" si="1"/>
        <v>0</v>
      </c>
      <c r="S44" s="20"/>
      <c r="T44" s="246"/>
      <c r="U44" s="246"/>
      <c r="V44" s="246"/>
      <c r="W44" s="15"/>
      <c r="X44" s="16"/>
      <c r="Y44" s="16"/>
      <c r="Z44" s="16"/>
      <c r="AA44" s="11">
        <f t="shared" si="2"/>
        <v>0</v>
      </c>
    </row>
    <row r="45" spans="2:27" x14ac:dyDescent="0.25">
      <c r="B45" s="246">
        <v>1</v>
      </c>
      <c r="C45" s="246"/>
      <c r="D45" s="246"/>
      <c r="E45" s="15"/>
      <c r="F45" s="16"/>
      <c r="G45" s="16"/>
      <c r="H45" s="16"/>
      <c r="I45" s="16">
        <f t="shared" si="0"/>
        <v>0</v>
      </c>
      <c r="J45" s="20"/>
      <c r="K45" s="246">
        <v>1</v>
      </c>
      <c r="L45" s="246"/>
      <c r="M45" s="246"/>
      <c r="N45" s="15"/>
      <c r="O45" s="16"/>
      <c r="P45" s="16"/>
      <c r="Q45" s="16"/>
      <c r="R45" s="16">
        <f t="shared" si="1"/>
        <v>0</v>
      </c>
      <c r="S45" s="20"/>
      <c r="T45" s="246">
        <v>1</v>
      </c>
      <c r="U45" s="246">
        <v>2530213501</v>
      </c>
      <c r="V45" s="246"/>
      <c r="W45" s="15"/>
      <c r="X45" s="16"/>
      <c r="Y45" s="16"/>
      <c r="Z45" s="16"/>
      <c r="AA45" s="11">
        <f t="shared" si="2"/>
        <v>0</v>
      </c>
    </row>
    <row r="46" spans="2:27" x14ac:dyDescent="0.25">
      <c r="B46" s="246"/>
      <c r="C46" s="246"/>
      <c r="D46" s="246"/>
      <c r="E46" s="15"/>
      <c r="F46" s="16"/>
      <c r="G46" s="16"/>
      <c r="H46" s="16"/>
      <c r="I46" s="16">
        <f t="shared" si="0"/>
        <v>0</v>
      </c>
      <c r="J46" s="20"/>
      <c r="K46" s="246"/>
      <c r="L46" s="246"/>
      <c r="M46" s="246"/>
      <c r="N46" s="15"/>
      <c r="O46" s="16"/>
      <c r="P46" s="16"/>
      <c r="Q46" s="16"/>
      <c r="R46" s="16">
        <f t="shared" si="1"/>
        <v>0</v>
      </c>
      <c r="S46" s="20"/>
      <c r="T46" s="246"/>
      <c r="U46" s="246"/>
      <c r="V46" s="246"/>
      <c r="W46" s="15"/>
      <c r="X46" s="16"/>
      <c r="Y46" s="16"/>
      <c r="Z46" s="16"/>
      <c r="AA46" s="11">
        <f t="shared" si="2"/>
        <v>0</v>
      </c>
    </row>
    <row r="47" spans="2:27" x14ac:dyDescent="0.25">
      <c r="B47" s="246"/>
      <c r="C47" s="246"/>
      <c r="D47" s="246"/>
      <c r="E47" s="15"/>
      <c r="F47" s="16"/>
      <c r="G47" s="16"/>
      <c r="H47" s="16"/>
      <c r="I47" s="16">
        <f t="shared" si="0"/>
        <v>0</v>
      </c>
      <c r="J47" s="20"/>
      <c r="K47" s="246"/>
      <c r="L47" s="246"/>
      <c r="M47" s="246"/>
      <c r="N47" s="15"/>
      <c r="O47" s="16"/>
      <c r="P47" s="16"/>
      <c r="Q47" s="16"/>
      <c r="R47" s="16">
        <f t="shared" si="1"/>
        <v>0</v>
      </c>
      <c r="S47" s="20"/>
      <c r="T47" s="246"/>
      <c r="U47" s="246"/>
      <c r="V47" s="246"/>
      <c r="W47" s="15"/>
      <c r="X47" s="16"/>
      <c r="Y47" s="16"/>
      <c r="Z47" s="16"/>
      <c r="AA47" s="11">
        <f t="shared" si="2"/>
        <v>0</v>
      </c>
    </row>
    <row r="48" spans="2:27" x14ac:dyDescent="0.25">
      <c r="B48" s="246">
        <v>1</v>
      </c>
      <c r="C48" s="246"/>
      <c r="D48" s="246"/>
      <c r="E48" s="15"/>
      <c r="F48" s="16"/>
      <c r="G48" s="16"/>
      <c r="H48" s="16"/>
      <c r="I48" s="16">
        <f t="shared" si="0"/>
        <v>0</v>
      </c>
      <c r="J48" s="20"/>
      <c r="K48" s="246">
        <v>1</v>
      </c>
      <c r="L48" s="246"/>
      <c r="M48" s="246"/>
      <c r="N48" s="15"/>
      <c r="O48" s="16"/>
      <c r="P48" s="16"/>
      <c r="Q48" s="16"/>
      <c r="R48" s="16">
        <f t="shared" si="1"/>
        <v>0</v>
      </c>
      <c r="S48" s="20"/>
      <c r="T48" s="246">
        <v>1</v>
      </c>
      <c r="U48" s="246">
        <v>2530413501</v>
      </c>
      <c r="V48" s="246"/>
      <c r="W48" s="15"/>
      <c r="X48" s="16"/>
      <c r="Y48" s="16"/>
      <c r="Z48" s="16"/>
      <c r="AA48" s="11">
        <f t="shared" si="2"/>
        <v>0</v>
      </c>
    </row>
    <row r="49" spans="2:27" x14ac:dyDescent="0.25">
      <c r="B49" s="246"/>
      <c r="C49" s="246"/>
      <c r="D49" s="246"/>
      <c r="E49" s="15"/>
      <c r="F49" s="16"/>
      <c r="G49" s="16"/>
      <c r="H49" s="16"/>
      <c r="I49" s="16">
        <f t="shared" si="0"/>
        <v>0</v>
      </c>
      <c r="J49" s="20"/>
      <c r="K49" s="246"/>
      <c r="L49" s="246"/>
      <c r="M49" s="246"/>
      <c r="N49" s="15"/>
      <c r="O49" s="16"/>
      <c r="P49" s="16"/>
      <c r="Q49" s="16"/>
      <c r="R49" s="16">
        <f t="shared" si="1"/>
        <v>0</v>
      </c>
      <c r="S49" s="20"/>
      <c r="T49" s="246"/>
      <c r="U49" s="246"/>
      <c r="V49" s="246"/>
      <c r="W49" s="15"/>
      <c r="X49" s="16"/>
      <c r="Y49" s="16"/>
      <c r="Z49" s="16"/>
      <c r="AA49" s="11">
        <f t="shared" si="2"/>
        <v>0</v>
      </c>
    </row>
    <row r="50" spans="2:27" x14ac:dyDescent="0.25">
      <c r="B50" s="246"/>
      <c r="C50" s="246"/>
      <c r="D50" s="246"/>
      <c r="E50" s="15"/>
      <c r="F50" s="16"/>
      <c r="G50" s="16"/>
      <c r="H50" s="16"/>
      <c r="I50" s="16">
        <f t="shared" si="0"/>
        <v>0</v>
      </c>
      <c r="J50" s="20"/>
      <c r="K50" s="246"/>
      <c r="L50" s="246"/>
      <c r="M50" s="246"/>
      <c r="N50" s="15"/>
      <c r="O50" s="16"/>
      <c r="P50" s="16"/>
      <c r="Q50" s="16"/>
      <c r="R50" s="16">
        <f t="shared" si="1"/>
        <v>0</v>
      </c>
      <c r="S50" s="20"/>
      <c r="T50" s="246"/>
      <c r="U50" s="246"/>
      <c r="V50" s="246"/>
      <c r="W50" s="15"/>
      <c r="X50" s="16"/>
      <c r="Y50" s="16"/>
      <c r="Z50" s="16"/>
      <c r="AA50" s="11">
        <f t="shared" si="2"/>
        <v>0</v>
      </c>
    </row>
    <row r="51" spans="2:27" x14ac:dyDescent="0.25">
      <c r="B51" s="246">
        <v>1</v>
      </c>
      <c r="C51" s="246"/>
      <c r="D51" s="246"/>
      <c r="E51" s="15"/>
      <c r="F51" s="16"/>
      <c r="G51" s="16"/>
      <c r="H51" s="16"/>
      <c r="I51" s="16">
        <f t="shared" si="0"/>
        <v>0</v>
      </c>
      <c r="J51" s="20"/>
      <c r="K51" s="246">
        <v>1</v>
      </c>
      <c r="L51" s="246"/>
      <c r="M51" s="246"/>
      <c r="N51" s="15"/>
      <c r="O51" s="16"/>
      <c r="P51" s="16"/>
      <c r="Q51" s="16"/>
      <c r="R51" s="16">
        <f t="shared" si="1"/>
        <v>0</v>
      </c>
      <c r="S51" s="20"/>
      <c r="T51" s="246">
        <v>1</v>
      </c>
      <c r="U51" s="246">
        <v>2530613501</v>
      </c>
      <c r="V51" s="246"/>
      <c r="W51" s="15"/>
      <c r="X51" s="16"/>
      <c r="Y51" s="16"/>
      <c r="Z51" s="16"/>
      <c r="AA51" s="11">
        <f t="shared" si="2"/>
        <v>0</v>
      </c>
    </row>
    <row r="52" spans="2:27" x14ac:dyDescent="0.25">
      <c r="B52" s="246"/>
      <c r="C52" s="246"/>
      <c r="D52" s="246"/>
      <c r="E52" s="15"/>
      <c r="F52" s="16"/>
      <c r="G52" s="16"/>
      <c r="H52" s="16"/>
      <c r="I52" s="16">
        <f t="shared" si="0"/>
        <v>0</v>
      </c>
      <c r="J52" s="20"/>
      <c r="K52" s="246"/>
      <c r="L52" s="246"/>
      <c r="M52" s="246"/>
      <c r="N52" s="15"/>
      <c r="O52" s="16"/>
      <c r="P52" s="16"/>
      <c r="Q52" s="16"/>
      <c r="R52" s="16">
        <f t="shared" si="1"/>
        <v>0</v>
      </c>
      <c r="S52" s="20"/>
      <c r="T52" s="246"/>
      <c r="U52" s="246"/>
      <c r="V52" s="246"/>
      <c r="W52" s="15"/>
      <c r="X52" s="16"/>
      <c r="Y52" s="16"/>
      <c r="Z52" s="16"/>
      <c r="AA52" s="11">
        <f t="shared" si="2"/>
        <v>0</v>
      </c>
    </row>
    <row r="53" spans="2:27" x14ac:dyDescent="0.25">
      <c r="B53" s="246"/>
      <c r="C53" s="246"/>
      <c r="D53" s="246"/>
      <c r="E53" s="15"/>
      <c r="F53" s="16"/>
      <c r="G53" s="16"/>
      <c r="H53" s="16"/>
      <c r="I53" s="16">
        <f t="shared" si="0"/>
        <v>0</v>
      </c>
      <c r="J53" s="20"/>
      <c r="K53" s="246"/>
      <c r="L53" s="246"/>
      <c r="M53" s="246"/>
      <c r="N53" s="15"/>
      <c r="O53" s="16"/>
      <c r="P53" s="16"/>
      <c r="Q53" s="16"/>
      <c r="R53" s="16">
        <f t="shared" si="1"/>
        <v>0</v>
      </c>
      <c r="S53" s="20"/>
      <c r="T53" s="246"/>
      <c r="U53" s="246"/>
      <c r="V53" s="246"/>
      <c r="W53" s="15"/>
      <c r="X53" s="16"/>
      <c r="Y53" s="16"/>
      <c r="Z53" s="16"/>
      <c r="AA53" s="11">
        <f t="shared" si="2"/>
        <v>0</v>
      </c>
    </row>
    <row r="54" spans="2:27" x14ac:dyDescent="0.25">
      <c r="B54" s="246">
        <v>1</v>
      </c>
      <c r="C54" s="246"/>
      <c r="D54" s="246"/>
      <c r="E54" s="15"/>
      <c r="F54" s="16"/>
      <c r="G54" s="16"/>
      <c r="H54" s="16"/>
      <c r="I54" s="16">
        <f t="shared" si="0"/>
        <v>0</v>
      </c>
      <c r="J54" s="20"/>
      <c r="K54" s="246">
        <v>1</v>
      </c>
      <c r="L54" s="246"/>
      <c r="M54" s="246"/>
      <c r="N54" s="15"/>
      <c r="O54" s="16"/>
      <c r="P54" s="16"/>
      <c r="Q54" s="16"/>
      <c r="R54" s="16">
        <f t="shared" si="1"/>
        <v>0</v>
      </c>
      <c r="S54" s="20"/>
      <c r="T54" s="246">
        <v>1</v>
      </c>
      <c r="U54" s="246">
        <v>2530813501</v>
      </c>
      <c r="V54" s="246"/>
      <c r="W54" s="15"/>
      <c r="X54" s="16"/>
      <c r="Y54" s="16"/>
      <c r="Z54" s="16"/>
      <c r="AA54" s="11">
        <f t="shared" si="2"/>
        <v>0</v>
      </c>
    </row>
    <row r="55" spans="2:27" x14ac:dyDescent="0.25">
      <c r="B55" s="246"/>
      <c r="C55" s="246"/>
      <c r="D55" s="246"/>
      <c r="E55" s="15"/>
      <c r="F55" s="16"/>
      <c r="G55" s="16"/>
      <c r="H55" s="16"/>
      <c r="I55" s="16">
        <f t="shared" si="0"/>
        <v>0</v>
      </c>
      <c r="J55" s="20"/>
      <c r="K55" s="246"/>
      <c r="L55" s="246"/>
      <c r="M55" s="246"/>
      <c r="N55" s="15"/>
      <c r="O55" s="16"/>
      <c r="P55" s="16"/>
      <c r="Q55" s="16"/>
      <c r="R55" s="16">
        <f t="shared" si="1"/>
        <v>0</v>
      </c>
      <c r="S55" s="20"/>
      <c r="T55" s="246"/>
      <c r="U55" s="246"/>
      <c r="V55" s="246"/>
      <c r="W55" s="15"/>
      <c r="X55" s="16"/>
      <c r="Y55" s="16"/>
      <c r="Z55" s="16"/>
      <c r="AA55" s="11">
        <f t="shared" si="2"/>
        <v>0</v>
      </c>
    </row>
    <row r="56" spans="2:27" x14ac:dyDescent="0.25">
      <c r="B56" s="246"/>
      <c r="C56" s="246"/>
      <c r="D56" s="246"/>
      <c r="E56" s="15"/>
      <c r="F56" s="16"/>
      <c r="G56" s="16"/>
      <c r="H56" s="16"/>
      <c r="I56" s="16">
        <f t="shared" si="0"/>
        <v>0</v>
      </c>
      <c r="J56" s="20"/>
      <c r="K56" s="246"/>
      <c r="L56" s="246"/>
      <c r="M56" s="246"/>
      <c r="N56" s="15"/>
      <c r="O56" s="16"/>
      <c r="P56" s="16"/>
      <c r="Q56" s="16"/>
      <c r="R56" s="16">
        <f t="shared" si="1"/>
        <v>0</v>
      </c>
      <c r="S56" s="20"/>
      <c r="T56" s="246"/>
      <c r="U56" s="246"/>
      <c r="V56" s="246"/>
      <c r="W56" s="15"/>
      <c r="X56" s="16"/>
      <c r="Y56" s="16"/>
      <c r="Z56" s="16"/>
      <c r="AA56" s="11">
        <f t="shared" si="2"/>
        <v>0</v>
      </c>
    </row>
    <row r="57" spans="2:27" x14ac:dyDescent="0.25">
      <c r="B57" s="246">
        <v>1</v>
      </c>
      <c r="C57" s="246"/>
      <c r="D57" s="246"/>
      <c r="E57" s="15"/>
      <c r="F57" s="16"/>
      <c r="G57" s="16"/>
      <c r="H57" s="16"/>
      <c r="I57" s="16">
        <f t="shared" si="0"/>
        <v>0</v>
      </c>
      <c r="J57" s="20"/>
      <c r="K57" s="246">
        <v>1</v>
      </c>
      <c r="L57" s="246"/>
      <c r="M57" s="246"/>
      <c r="N57" s="15"/>
      <c r="O57" s="16"/>
      <c r="P57" s="16"/>
      <c r="Q57" s="16"/>
      <c r="R57" s="16">
        <f t="shared" si="1"/>
        <v>0</v>
      </c>
      <c r="S57" s="20"/>
      <c r="T57" s="246">
        <v>1</v>
      </c>
      <c r="U57" s="246">
        <v>2531013501</v>
      </c>
      <c r="V57" s="246"/>
      <c r="W57" s="15"/>
      <c r="X57" s="16"/>
      <c r="Y57" s="16"/>
      <c r="Z57" s="16"/>
      <c r="AA57" s="11">
        <f t="shared" si="2"/>
        <v>0</v>
      </c>
    </row>
    <row r="58" spans="2:27" x14ac:dyDescent="0.25">
      <c r="B58" s="246"/>
      <c r="C58" s="246"/>
      <c r="D58" s="246"/>
      <c r="E58" s="15"/>
      <c r="F58" s="16"/>
      <c r="G58" s="16"/>
      <c r="H58" s="16"/>
      <c r="I58" s="16">
        <f t="shared" si="0"/>
        <v>0</v>
      </c>
      <c r="J58" s="20"/>
      <c r="K58" s="246"/>
      <c r="L58" s="246"/>
      <c r="M58" s="246"/>
      <c r="N58" s="15"/>
      <c r="O58" s="16"/>
      <c r="P58" s="16"/>
      <c r="Q58" s="16"/>
      <c r="R58" s="16">
        <f t="shared" si="1"/>
        <v>0</v>
      </c>
      <c r="S58" s="20"/>
      <c r="T58" s="246"/>
      <c r="U58" s="246"/>
      <c r="V58" s="246"/>
      <c r="W58" s="15"/>
      <c r="X58" s="16"/>
      <c r="Y58" s="16"/>
      <c r="Z58" s="16"/>
      <c r="AA58" s="11">
        <f t="shared" si="2"/>
        <v>0</v>
      </c>
    </row>
    <row r="59" spans="2:27" x14ac:dyDescent="0.25">
      <c r="B59" s="246"/>
      <c r="C59" s="246"/>
      <c r="D59" s="246"/>
      <c r="E59" s="15"/>
      <c r="F59" s="16"/>
      <c r="G59" s="16"/>
      <c r="H59" s="16"/>
      <c r="I59" s="16">
        <f t="shared" si="0"/>
        <v>0</v>
      </c>
      <c r="J59" s="20"/>
      <c r="K59" s="246"/>
      <c r="L59" s="246"/>
      <c r="M59" s="246"/>
      <c r="N59" s="15"/>
      <c r="O59" s="16"/>
      <c r="P59" s="16"/>
      <c r="Q59" s="16"/>
      <c r="R59" s="16">
        <f t="shared" si="1"/>
        <v>0</v>
      </c>
      <c r="S59" s="20"/>
      <c r="T59" s="246"/>
      <c r="U59" s="246"/>
      <c r="V59" s="246"/>
      <c r="W59" s="15"/>
      <c r="X59" s="16"/>
      <c r="Y59" s="16"/>
      <c r="Z59" s="16"/>
      <c r="AA59" s="11">
        <f t="shared" si="2"/>
        <v>0</v>
      </c>
    </row>
    <row r="60" spans="2:27" x14ac:dyDescent="0.25">
      <c r="B60" s="246">
        <v>1</v>
      </c>
      <c r="C60" s="246"/>
      <c r="D60" s="246"/>
      <c r="E60" s="15"/>
      <c r="F60" s="16"/>
      <c r="G60" s="16"/>
      <c r="H60" s="16"/>
      <c r="I60" s="16">
        <f t="shared" si="0"/>
        <v>0</v>
      </c>
      <c r="J60" s="20"/>
      <c r="K60" s="246">
        <v>1</v>
      </c>
      <c r="L60" s="246"/>
      <c r="M60" s="246"/>
      <c r="N60" s="15"/>
      <c r="O60" s="16"/>
      <c r="P60" s="16"/>
      <c r="Q60" s="16"/>
      <c r="R60" s="16">
        <f t="shared" si="1"/>
        <v>0</v>
      </c>
      <c r="S60" s="20"/>
      <c r="T60" s="246">
        <v>1</v>
      </c>
      <c r="U60" s="246">
        <v>2531413501</v>
      </c>
      <c r="V60" s="246"/>
      <c r="W60" s="15"/>
      <c r="X60" s="16"/>
      <c r="Y60" s="16"/>
      <c r="Z60" s="16"/>
      <c r="AA60" s="11">
        <f t="shared" si="2"/>
        <v>0</v>
      </c>
    </row>
    <row r="61" spans="2:27" x14ac:dyDescent="0.25">
      <c r="B61" s="246"/>
      <c r="C61" s="246"/>
      <c r="D61" s="246"/>
      <c r="E61" s="15"/>
      <c r="F61" s="16"/>
      <c r="G61" s="16"/>
      <c r="H61" s="16"/>
      <c r="I61" s="16">
        <f t="shared" si="0"/>
        <v>0</v>
      </c>
      <c r="J61" s="20"/>
      <c r="K61" s="246"/>
      <c r="L61" s="246"/>
      <c r="M61" s="246"/>
      <c r="N61" s="15"/>
      <c r="O61" s="16"/>
      <c r="P61" s="16"/>
      <c r="Q61" s="16"/>
      <c r="R61" s="16">
        <f t="shared" si="1"/>
        <v>0</v>
      </c>
      <c r="S61" s="20"/>
      <c r="T61" s="246"/>
      <c r="U61" s="246"/>
      <c r="V61" s="246"/>
      <c r="W61" s="15"/>
      <c r="X61" s="16"/>
      <c r="Y61" s="16"/>
      <c r="Z61" s="16"/>
      <c r="AA61" s="11">
        <f t="shared" si="2"/>
        <v>0</v>
      </c>
    </row>
    <row r="62" spans="2:27" x14ac:dyDescent="0.25">
      <c r="B62" s="246"/>
      <c r="C62" s="246"/>
      <c r="D62" s="246"/>
      <c r="E62" s="15"/>
      <c r="F62" s="16"/>
      <c r="G62" s="16"/>
      <c r="H62" s="16"/>
      <c r="I62" s="16">
        <f t="shared" si="0"/>
        <v>0</v>
      </c>
      <c r="J62" s="20"/>
      <c r="K62" s="246"/>
      <c r="L62" s="246"/>
      <c r="M62" s="246"/>
      <c r="N62" s="15"/>
      <c r="O62" s="16"/>
      <c r="P62" s="16"/>
      <c r="Q62" s="16"/>
      <c r="R62" s="16">
        <f t="shared" si="1"/>
        <v>0</v>
      </c>
      <c r="S62" s="20"/>
      <c r="T62" s="246"/>
      <c r="U62" s="246"/>
      <c r="V62" s="246"/>
      <c r="W62" s="15"/>
      <c r="X62" s="16"/>
      <c r="Y62" s="16"/>
      <c r="Z62" s="16"/>
      <c r="AA62" s="11">
        <f t="shared" si="2"/>
        <v>0</v>
      </c>
    </row>
    <row r="63" spans="2:27" x14ac:dyDescent="0.25">
      <c r="B63" s="246">
        <v>1</v>
      </c>
      <c r="C63" s="246"/>
      <c r="D63" s="246"/>
      <c r="E63" s="15"/>
      <c r="F63" s="16"/>
      <c r="G63" s="16"/>
      <c r="H63" s="16"/>
      <c r="I63" s="16">
        <f t="shared" si="0"/>
        <v>0</v>
      </c>
      <c r="J63" s="20"/>
      <c r="K63" s="246">
        <v>1</v>
      </c>
      <c r="L63" s="246"/>
      <c r="M63" s="246"/>
      <c r="N63" s="15"/>
      <c r="O63" s="16"/>
      <c r="P63" s="16"/>
      <c r="Q63" s="16"/>
      <c r="R63" s="16">
        <f t="shared" si="1"/>
        <v>0</v>
      </c>
      <c r="S63" s="20"/>
      <c r="T63" s="246">
        <v>1</v>
      </c>
      <c r="U63" s="246">
        <v>2531613501</v>
      </c>
      <c r="V63" s="246"/>
      <c r="W63" s="15"/>
      <c r="X63" s="16"/>
      <c r="Y63" s="16"/>
      <c r="Z63" s="16"/>
      <c r="AA63" s="11">
        <f t="shared" si="2"/>
        <v>0</v>
      </c>
    </row>
    <row r="64" spans="2:27" x14ac:dyDescent="0.25">
      <c r="B64" s="246"/>
      <c r="C64" s="246"/>
      <c r="D64" s="246"/>
      <c r="E64" s="15"/>
      <c r="F64" s="16"/>
      <c r="G64" s="16"/>
      <c r="H64" s="16"/>
      <c r="I64" s="16">
        <f t="shared" si="0"/>
        <v>0</v>
      </c>
      <c r="J64" s="20"/>
      <c r="K64" s="246"/>
      <c r="L64" s="246"/>
      <c r="M64" s="246"/>
      <c r="N64" s="15"/>
      <c r="O64" s="16"/>
      <c r="P64" s="16"/>
      <c r="Q64" s="16"/>
      <c r="R64" s="16">
        <f t="shared" si="1"/>
        <v>0</v>
      </c>
      <c r="S64" s="20"/>
      <c r="T64" s="246"/>
      <c r="U64" s="246"/>
      <c r="V64" s="246"/>
      <c r="W64" s="15"/>
      <c r="X64" s="16"/>
      <c r="Y64" s="16"/>
      <c r="Z64" s="16"/>
      <c r="AA64" s="11">
        <f t="shared" si="2"/>
        <v>0</v>
      </c>
    </row>
    <row r="65" spans="2:27" x14ac:dyDescent="0.25">
      <c r="B65" s="246"/>
      <c r="C65" s="246"/>
      <c r="D65" s="246"/>
      <c r="E65" s="15"/>
      <c r="F65" s="16"/>
      <c r="G65" s="16"/>
      <c r="H65" s="16"/>
      <c r="I65" s="16">
        <f t="shared" si="0"/>
        <v>0</v>
      </c>
      <c r="J65" s="20"/>
      <c r="K65" s="246"/>
      <c r="L65" s="246"/>
      <c r="M65" s="246"/>
      <c r="N65" s="15"/>
      <c r="O65" s="16"/>
      <c r="P65" s="16"/>
      <c r="Q65" s="16"/>
      <c r="R65" s="16">
        <f t="shared" si="1"/>
        <v>0</v>
      </c>
      <c r="S65" s="20"/>
      <c r="T65" s="246"/>
      <c r="U65" s="246"/>
      <c r="V65" s="246"/>
      <c r="W65" s="15"/>
      <c r="X65" s="16"/>
      <c r="Y65" s="16"/>
      <c r="Z65" s="16"/>
      <c r="AA65" s="11">
        <f t="shared" si="2"/>
        <v>0</v>
      </c>
    </row>
    <row r="66" spans="2:27" x14ac:dyDescent="0.25">
      <c r="B66" s="246">
        <v>1</v>
      </c>
      <c r="C66" s="246"/>
      <c r="D66" s="246"/>
      <c r="E66" s="15"/>
      <c r="F66" s="16"/>
      <c r="G66" s="16"/>
      <c r="H66" s="16"/>
      <c r="I66" s="16">
        <f t="shared" si="0"/>
        <v>0</v>
      </c>
      <c r="J66" s="20"/>
      <c r="K66" s="246">
        <v>1</v>
      </c>
      <c r="L66" s="246"/>
      <c r="M66" s="246"/>
      <c r="N66" s="15"/>
      <c r="O66" s="16"/>
      <c r="P66" s="16"/>
      <c r="Q66" s="16"/>
      <c r="R66" s="16">
        <f t="shared" si="1"/>
        <v>0</v>
      </c>
      <c r="S66" s="20"/>
      <c r="T66" s="246">
        <v>1</v>
      </c>
      <c r="U66" s="246">
        <v>2532013501</v>
      </c>
      <c r="V66" s="246"/>
      <c r="W66" s="15"/>
      <c r="X66" s="16"/>
      <c r="Y66" s="16"/>
      <c r="Z66" s="16"/>
      <c r="AA66" s="11">
        <f t="shared" si="2"/>
        <v>0</v>
      </c>
    </row>
    <row r="67" spans="2:27" x14ac:dyDescent="0.25">
      <c r="B67" s="246"/>
      <c r="C67" s="246"/>
      <c r="D67" s="246"/>
      <c r="E67" s="15"/>
      <c r="F67" s="16"/>
      <c r="G67" s="16"/>
      <c r="H67" s="16"/>
      <c r="I67" s="16">
        <f t="shared" si="0"/>
        <v>0</v>
      </c>
      <c r="J67" s="20"/>
      <c r="K67" s="246"/>
      <c r="L67" s="246"/>
      <c r="M67" s="246"/>
      <c r="N67" s="15"/>
      <c r="O67" s="16"/>
      <c r="P67" s="16"/>
      <c r="Q67" s="16"/>
      <c r="R67" s="16">
        <f t="shared" si="1"/>
        <v>0</v>
      </c>
      <c r="S67" s="20"/>
      <c r="T67" s="246"/>
      <c r="U67" s="246"/>
      <c r="V67" s="246"/>
      <c r="W67" s="15"/>
      <c r="X67" s="16"/>
      <c r="Y67" s="16"/>
      <c r="Z67" s="16"/>
      <c r="AA67" s="11">
        <f t="shared" si="2"/>
        <v>0</v>
      </c>
    </row>
    <row r="68" spans="2:27" x14ac:dyDescent="0.25">
      <c r="B68" s="246"/>
      <c r="C68" s="246"/>
      <c r="D68" s="246"/>
      <c r="E68" s="15"/>
      <c r="F68" s="16"/>
      <c r="G68" s="16"/>
      <c r="H68" s="16"/>
      <c r="I68" s="16">
        <f t="shared" si="0"/>
        <v>0</v>
      </c>
      <c r="J68" s="20"/>
      <c r="K68" s="246"/>
      <c r="L68" s="246"/>
      <c r="M68" s="246"/>
      <c r="N68" s="15"/>
      <c r="O68" s="16"/>
      <c r="P68" s="16"/>
      <c r="Q68" s="16"/>
      <c r="R68" s="16">
        <f t="shared" si="1"/>
        <v>0</v>
      </c>
      <c r="S68" s="20"/>
      <c r="T68" s="246"/>
      <c r="U68" s="246"/>
      <c r="V68" s="246"/>
      <c r="W68" s="15"/>
      <c r="X68" s="16"/>
      <c r="Y68" s="16"/>
      <c r="Z68" s="16"/>
      <c r="AA68" s="11">
        <f t="shared" si="2"/>
        <v>0</v>
      </c>
    </row>
    <row r="69" spans="2:27" x14ac:dyDescent="0.25">
      <c r="B69" s="246">
        <v>1</v>
      </c>
      <c r="C69" s="246"/>
      <c r="D69" s="246"/>
      <c r="E69" s="15"/>
      <c r="F69" s="16"/>
      <c r="G69" s="16"/>
      <c r="H69" s="16"/>
      <c r="I69" s="16">
        <f t="shared" si="0"/>
        <v>0</v>
      </c>
      <c r="J69" s="20"/>
      <c r="K69" s="246">
        <v>1</v>
      </c>
      <c r="L69" s="246"/>
      <c r="M69" s="246"/>
      <c r="N69" s="15"/>
      <c r="O69" s="16"/>
      <c r="P69" s="16"/>
      <c r="Q69" s="16"/>
      <c r="R69" s="16">
        <f t="shared" si="1"/>
        <v>0</v>
      </c>
      <c r="S69" s="20"/>
      <c r="T69" s="246">
        <v>1</v>
      </c>
      <c r="U69" s="246">
        <v>2532213501</v>
      </c>
      <c r="V69" s="246"/>
      <c r="W69" s="15"/>
      <c r="X69" s="16"/>
      <c r="Y69" s="16"/>
      <c r="Z69" s="16"/>
      <c r="AA69" s="11">
        <f t="shared" si="2"/>
        <v>0</v>
      </c>
    </row>
    <row r="70" spans="2:27" x14ac:dyDescent="0.25">
      <c r="B70" s="246"/>
      <c r="C70" s="246"/>
      <c r="D70" s="246"/>
      <c r="E70" s="15"/>
      <c r="F70" s="16"/>
      <c r="G70" s="16"/>
      <c r="H70" s="16"/>
      <c r="I70" s="16">
        <f t="shared" ref="I70:I133" si="3">+F70-SUM(G70:H70)</f>
        <v>0</v>
      </c>
      <c r="J70" s="20"/>
      <c r="K70" s="246"/>
      <c r="L70" s="246"/>
      <c r="M70" s="246"/>
      <c r="N70" s="15"/>
      <c r="O70" s="16"/>
      <c r="P70" s="16"/>
      <c r="Q70" s="16"/>
      <c r="R70" s="16">
        <f t="shared" ref="R70:R79" si="4">+O70-SUM(P70:Q70)</f>
        <v>0</v>
      </c>
      <c r="S70" s="20"/>
      <c r="T70" s="246"/>
      <c r="U70" s="246"/>
      <c r="V70" s="246"/>
      <c r="W70" s="15"/>
      <c r="X70" s="16"/>
      <c r="Y70" s="16"/>
      <c r="Z70" s="16"/>
      <c r="AA70" s="11">
        <f t="shared" ref="AA70:AA79" si="5">+X70-SUM(Y70:Z70)</f>
        <v>0</v>
      </c>
    </row>
    <row r="71" spans="2:27" x14ac:dyDescent="0.25">
      <c r="B71" s="246"/>
      <c r="C71" s="246"/>
      <c r="D71" s="246"/>
      <c r="E71" s="15"/>
      <c r="F71" s="16"/>
      <c r="G71" s="16"/>
      <c r="H71" s="16"/>
      <c r="I71" s="16">
        <f t="shared" si="3"/>
        <v>0</v>
      </c>
      <c r="J71" s="20"/>
      <c r="K71" s="246"/>
      <c r="L71" s="246"/>
      <c r="M71" s="246"/>
      <c r="N71" s="15"/>
      <c r="O71" s="16"/>
      <c r="P71" s="16"/>
      <c r="Q71" s="16"/>
      <c r="R71" s="16">
        <f t="shared" si="4"/>
        <v>0</v>
      </c>
      <c r="S71" s="20"/>
      <c r="T71" s="246"/>
      <c r="U71" s="246"/>
      <c r="V71" s="246"/>
      <c r="W71" s="15"/>
      <c r="X71" s="16"/>
      <c r="Y71" s="16"/>
      <c r="Z71" s="16"/>
      <c r="AA71" s="11">
        <f t="shared" si="5"/>
        <v>0</v>
      </c>
    </row>
    <row r="72" spans="2:27" x14ac:dyDescent="0.25">
      <c r="B72" s="246">
        <v>1</v>
      </c>
      <c r="C72" s="246"/>
      <c r="D72" s="246"/>
      <c r="E72" s="15"/>
      <c r="F72" s="16"/>
      <c r="G72" s="16"/>
      <c r="H72" s="16"/>
      <c r="I72" s="16">
        <f t="shared" si="3"/>
        <v>0</v>
      </c>
      <c r="J72" s="20"/>
      <c r="K72" s="246">
        <v>1</v>
      </c>
      <c r="L72" s="246"/>
      <c r="M72" s="246"/>
      <c r="N72" s="15"/>
      <c r="O72" s="16"/>
      <c r="P72" s="16"/>
      <c r="Q72" s="16"/>
      <c r="R72" s="16">
        <f t="shared" si="4"/>
        <v>0</v>
      </c>
      <c r="S72" s="20"/>
      <c r="T72" s="246">
        <v>1</v>
      </c>
      <c r="U72" s="246">
        <v>2532513501</v>
      </c>
      <c r="V72" s="246"/>
      <c r="W72" s="15"/>
      <c r="X72" s="16"/>
      <c r="Y72" s="16"/>
      <c r="Z72" s="16"/>
      <c r="AA72" s="11">
        <f t="shared" si="5"/>
        <v>0</v>
      </c>
    </row>
    <row r="73" spans="2:27" x14ac:dyDescent="0.25">
      <c r="B73" s="246"/>
      <c r="C73" s="246"/>
      <c r="D73" s="246"/>
      <c r="E73" s="15"/>
      <c r="F73" s="16"/>
      <c r="G73" s="16"/>
      <c r="H73" s="16"/>
      <c r="I73" s="16">
        <f t="shared" si="3"/>
        <v>0</v>
      </c>
      <c r="J73" s="20"/>
      <c r="K73" s="246"/>
      <c r="L73" s="246"/>
      <c r="M73" s="246"/>
      <c r="N73" s="15"/>
      <c r="O73" s="16"/>
      <c r="P73" s="16"/>
      <c r="Q73" s="16"/>
      <c r="R73" s="16">
        <f t="shared" si="4"/>
        <v>0</v>
      </c>
      <c r="S73" s="20"/>
      <c r="T73" s="246"/>
      <c r="U73" s="246"/>
      <c r="V73" s="246"/>
      <c r="W73" s="15"/>
      <c r="X73" s="16"/>
      <c r="Y73" s="16"/>
      <c r="Z73" s="16"/>
      <c r="AA73" s="11">
        <f t="shared" si="5"/>
        <v>0</v>
      </c>
    </row>
    <row r="74" spans="2:27" x14ac:dyDescent="0.25">
      <c r="B74" s="246"/>
      <c r="C74" s="246"/>
      <c r="D74" s="246"/>
      <c r="E74" s="15"/>
      <c r="F74" s="16"/>
      <c r="G74" s="16"/>
      <c r="H74" s="16"/>
      <c r="I74" s="16">
        <f t="shared" si="3"/>
        <v>0</v>
      </c>
      <c r="J74" s="20"/>
      <c r="K74" s="246"/>
      <c r="L74" s="246"/>
      <c r="M74" s="246"/>
      <c r="N74" s="15"/>
      <c r="O74" s="16"/>
      <c r="P74" s="16"/>
      <c r="Q74" s="16"/>
      <c r="R74" s="16">
        <f t="shared" si="4"/>
        <v>0</v>
      </c>
      <c r="S74" s="20"/>
      <c r="T74" s="246"/>
      <c r="U74" s="246"/>
      <c r="V74" s="246"/>
      <c r="W74" s="15"/>
      <c r="X74" s="16"/>
      <c r="Y74" s="16"/>
      <c r="Z74" s="16"/>
      <c r="AA74" s="11">
        <f t="shared" si="5"/>
        <v>0</v>
      </c>
    </row>
    <row r="75" spans="2:27" x14ac:dyDescent="0.25">
      <c r="B75" s="246">
        <v>1</v>
      </c>
      <c r="C75" s="246">
        <v>2519012301</v>
      </c>
      <c r="D75" s="246"/>
      <c r="E75" s="15"/>
      <c r="F75" s="16"/>
      <c r="G75" s="16"/>
      <c r="H75" s="16"/>
      <c r="I75" s="16">
        <f t="shared" si="3"/>
        <v>0</v>
      </c>
      <c r="J75" s="20"/>
      <c r="K75" s="246">
        <v>1</v>
      </c>
      <c r="L75" s="246"/>
      <c r="M75" s="246"/>
      <c r="N75" s="15"/>
      <c r="O75" s="16"/>
      <c r="P75" s="16"/>
      <c r="Q75" s="16"/>
      <c r="R75" s="16">
        <f t="shared" si="4"/>
        <v>0</v>
      </c>
      <c r="S75" s="20"/>
      <c r="T75" s="246">
        <v>1</v>
      </c>
      <c r="U75" s="246">
        <v>2532813501</v>
      </c>
      <c r="V75" s="246"/>
      <c r="W75" s="15"/>
      <c r="X75" s="16"/>
      <c r="Y75" s="16"/>
      <c r="Z75" s="16"/>
      <c r="AA75" s="11">
        <f t="shared" si="5"/>
        <v>0</v>
      </c>
    </row>
    <row r="76" spans="2:27" x14ac:dyDescent="0.25">
      <c r="B76" s="246"/>
      <c r="C76" s="246"/>
      <c r="D76" s="246"/>
      <c r="E76" s="15"/>
      <c r="F76" s="16"/>
      <c r="G76" s="16"/>
      <c r="H76" s="16"/>
      <c r="I76" s="16">
        <f t="shared" si="3"/>
        <v>0</v>
      </c>
      <c r="J76" s="20"/>
      <c r="K76" s="246"/>
      <c r="L76" s="246"/>
      <c r="M76" s="246"/>
      <c r="N76" s="15"/>
      <c r="O76" s="16"/>
      <c r="P76" s="16"/>
      <c r="Q76" s="16"/>
      <c r="R76" s="16">
        <f t="shared" si="4"/>
        <v>0</v>
      </c>
      <c r="S76" s="20"/>
      <c r="T76" s="246"/>
      <c r="U76" s="246"/>
      <c r="V76" s="246"/>
      <c r="W76" s="15"/>
      <c r="X76" s="16"/>
      <c r="Y76" s="16"/>
      <c r="Z76" s="16"/>
      <c r="AA76" s="11">
        <f t="shared" si="5"/>
        <v>0</v>
      </c>
    </row>
    <row r="77" spans="2:27" x14ac:dyDescent="0.25">
      <c r="B77" s="246"/>
      <c r="C77" s="246"/>
      <c r="D77" s="246"/>
      <c r="E77" s="15"/>
      <c r="F77" s="16"/>
      <c r="G77" s="16"/>
      <c r="H77" s="16"/>
      <c r="I77" s="16">
        <f t="shared" si="3"/>
        <v>0</v>
      </c>
      <c r="J77" s="20"/>
      <c r="K77" s="246"/>
      <c r="L77" s="246"/>
      <c r="M77" s="246"/>
      <c r="N77" s="15"/>
      <c r="O77" s="16"/>
      <c r="P77" s="16"/>
      <c r="Q77" s="16"/>
      <c r="R77" s="16">
        <f t="shared" si="4"/>
        <v>0</v>
      </c>
      <c r="S77" s="20"/>
      <c r="T77" s="246"/>
      <c r="U77" s="246"/>
      <c r="V77" s="246"/>
      <c r="W77" s="15"/>
      <c r="X77" s="16"/>
      <c r="Y77" s="16"/>
      <c r="Z77" s="16"/>
      <c r="AA77" s="11">
        <f t="shared" si="5"/>
        <v>0</v>
      </c>
    </row>
    <row r="78" spans="2:27" x14ac:dyDescent="0.25">
      <c r="B78" s="246">
        <v>1</v>
      </c>
      <c r="C78" s="246">
        <v>2519112301</v>
      </c>
      <c r="D78" s="246"/>
      <c r="E78" s="15"/>
      <c r="F78" s="16"/>
      <c r="G78" s="16"/>
      <c r="H78" s="16"/>
      <c r="I78" s="16">
        <f t="shared" si="3"/>
        <v>0</v>
      </c>
      <c r="J78" s="20"/>
      <c r="K78" s="246">
        <v>1</v>
      </c>
      <c r="L78" s="246"/>
      <c r="M78" s="246"/>
      <c r="N78" s="15"/>
      <c r="O78" s="16"/>
      <c r="P78" s="16"/>
      <c r="Q78" s="16"/>
      <c r="R78" s="16">
        <f t="shared" si="4"/>
        <v>0</v>
      </c>
      <c r="S78" s="20"/>
      <c r="T78" s="246"/>
      <c r="U78" s="246">
        <v>2533313501</v>
      </c>
      <c r="V78" s="246"/>
      <c r="W78" s="15"/>
      <c r="X78" s="16"/>
      <c r="Y78" s="16"/>
      <c r="Z78" s="16"/>
      <c r="AA78" s="11">
        <f t="shared" si="5"/>
        <v>0</v>
      </c>
    </row>
    <row r="79" spans="2:27" ht="18" customHeight="1" x14ac:dyDescent="0.25">
      <c r="B79" s="246"/>
      <c r="C79" s="246"/>
      <c r="D79" s="246"/>
      <c r="E79" s="15"/>
      <c r="F79" s="16"/>
      <c r="G79" s="16"/>
      <c r="H79" s="16"/>
      <c r="I79" s="16">
        <f t="shared" si="3"/>
        <v>0</v>
      </c>
      <c r="J79" s="20"/>
      <c r="K79" s="246"/>
      <c r="L79" s="246"/>
      <c r="M79" s="246"/>
      <c r="N79" s="15"/>
      <c r="O79" s="16"/>
      <c r="P79" s="16"/>
      <c r="Q79" s="16"/>
      <c r="R79" s="16">
        <f t="shared" si="4"/>
        <v>0</v>
      </c>
      <c r="S79" s="20"/>
      <c r="T79" s="246"/>
      <c r="U79" s="246"/>
      <c r="V79" s="246"/>
      <c r="W79" s="15"/>
      <c r="X79" s="16"/>
      <c r="Y79" s="16"/>
      <c r="Z79" s="16"/>
      <c r="AA79" s="11">
        <f t="shared" si="5"/>
        <v>0</v>
      </c>
    </row>
    <row r="80" spans="2:27" x14ac:dyDescent="0.25">
      <c r="B80" s="246"/>
      <c r="C80" s="246"/>
      <c r="D80" s="246"/>
      <c r="E80" s="15"/>
      <c r="F80" s="16"/>
      <c r="G80" s="16"/>
      <c r="H80" s="16"/>
      <c r="I80" s="16">
        <f t="shared" si="3"/>
        <v>0</v>
      </c>
      <c r="K80" s="246"/>
      <c r="L80" s="246"/>
      <c r="M80" s="246"/>
      <c r="N80" s="15"/>
      <c r="O80" s="16"/>
      <c r="P80" s="16"/>
      <c r="Q80" s="16"/>
      <c r="R80" s="16"/>
      <c r="T80" s="246"/>
      <c r="U80" s="246"/>
      <c r="V80" s="246"/>
      <c r="W80" s="15"/>
      <c r="X80" s="16"/>
      <c r="Y80" s="16"/>
      <c r="Z80" s="16"/>
      <c r="AA80" s="11"/>
    </row>
    <row r="81" spans="2:27" x14ac:dyDescent="0.25">
      <c r="B81" s="246">
        <v>1</v>
      </c>
      <c r="C81" s="246">
        <v>2519212301</v>
      </c>
      <c r="D81" s="246"/>
      <c r="E81" s="15"/>
      <c r="F81" s="16"/>
      <c r="G81" s="16"/>
      <c r="H81" s="16"/>
      <c r="I81" s="16">
        <f t="shared" si="3"/>
        <v>0</v>
      </c>
      <c r="K81" s="246"/>
      <c r="L81" s="246"/>
      <c r="M81" s="246"/>
      <c r="N81" s="15"/>
      <c r="O81" s="16"/>
      <c r="P81" s="16"/>
      <c r="Q81" s="16"/>
      <c r="R81" s="16"/>
      <c r="T81" s="246"/>
      <c r="U81" s="246">
        <v>2535413501</v>
      </c>
      <c r="V81" s="246"/>
      <c r="W81" s="15"/>
      <c r="X81" s="16"/>
      <c r="Y81" s="16"/>
      <c r="Z81" s="16"/>
      <c r="AA81" s="11"/>
    </row>
    <row r="82" spans="2:27" x14ac:dyDescent="0.25">
      <c r="B82" s="246"/>
      <c r="C82" s="246"/>
      <c r="D82" s="246"/>
      <c r="E82" s="15"/>
      <c r="F82" s="16"/>
      <c r="G82" s="16"/>
      <c r="H82" s="16"/>
      <c r="I82" s="16">
        <f t="shared" si="3"/>
        <v>0</v>
      </c>
      <c r="K82" s="246"/>
      <c r="L82" s="246"/>
      <c r="M82" s="246"/>
      <c r="N82" s="15"/>
      <c r="O82" s="16"/>
      <c r="P82" s="16"/>
      <c r="Q82" s="16"/>
      <c r="R82" s="16"/>
      <c r="T82" s="246"/>
      <c r="U82" s="246"/>
      <c r="V82" s="246"/>
      <c r="W82" s="15"/>
      <c r="X82" s="16"/>
      <c r="Y82" s="16"/>
      <c r="Z82" s="16"/>
      <c r="AA82" s="11"/>
    </row>
    <row r="83" spans="2:27" x14ac:dyDescent="0.25">
      <c r="B83" s="246"/>
      <c r="C83" s="246"/>
      <c r="D83" s="246"/>
      <c r="E83" s="15"/>
      <c r="F83" s="16"/>
      <c r="G83" s="16"/>
      <c r="H83" s="16"/>
      <c r="I83" s="16">
        <f t="shared" si="3"/>
        <v>0</v>
      </c>
      <c r="K83" s="246"/>
      <c r="L83" s="246"/>
      <c r="M83" s="246"/>
      <c r="N83" s="15"/>
      <c r="O83" s="16"/>
      <c r="P83" s="16"/>
      <c r="Q83" s="16"/>
      <c r="R83" s="16"/>
      <c r="T83" s="246"/>
      <c r="U83" s="246"/>
      <c r="V83" s="246"/>
      <c r="W83" s="15"/>
      <c r="X83" s="16"/>
      <c r="Y83" s="16"/>
      <c r="Z83" s="16"/>
      <c r="AA83" s="11"/>
    </row>
    <row r="84" spans="2:27" x14ac:dyDescent="0.25">
      <c r="B84" s="246">
        <v>1</v>
      </c>
      <c r="C84" s="246">
        <v>2519312301</v>
      </c>
      <c r="D84" s="246"/>
      <c r="E84" s="15"/>
      <c r="F84" s="16"/>
      <c r="G84" s="16"/>
      <c r="H84" s="16"/>
      <c r="I84" s="16">
        <f t="shared" si="3"/>
        <v>0</v>
      </c>
      <c r="K84" s="246"/>
      <c r="L84" s="246"/>
      <c r="M84" s="246"/>
      <c r="N84" s="15"/>
      <c r="O84" s="16"/>
      <c r="P84" s="16"/>
      <c r="Q84" s="16"/>
      <c r="R84" s="16"/>
      <c r="T84" s="246"/>
      <c r="U84" s="246">
        <v>2535813501</v>
      </c>
      <c r="V84" s="246"/>
      <c r="W84" s="15"/>
      <c r="X84" s="16"/>
      <c r="Y84" s="16"/>
      <c r="Z84" s="16"/>
      <c r="AA84" s="11"/>
    </row>
    <row r="85" spans="2:27" x14ac:dyDescent="0.25">
      <c r="B85" s="246"/>
      <c r="C85" s="246"/>
      <c r="D85" s="246"/>
      <c r="E85" s="15"/>
      <c r="F85" s="16"/>
      <c r="G85" s="16"/>
      <c r="H85" s="16"/>
      <c r="I85" s="16">
        <f t="shared" si="3"/>
        <v>0</v>
      </c>
      <c r="K85" s="246"/>
      <c r="L85" s="246"/>
      <c r="M85" s="246"/>
      <c r="N85" s="15"/>
      <c r="O85" s="16"/>
      <c r="P85" s="16"/>
      <c r="Q85" s="16"/>
      <c r="R85" s="16"/>
      <c r="T85" s="246"/>
      <c r="U85" s="246"/>
      <c r="V85" s="246"/>
      <c r="W85" s="15"/>
      <c r="X85" s="16"/>
      <c r="Y85" s="16"/>
      <c r="Z85" s="16"/>
      <c r="AA85" s="11"/>
    </row>
    <row r="86" spans="2:27" x14ac:dyDescent="0.25">
      <c r="B86" s="246"/>
      <c r="C86" s="246"/>
      <c r="D86" s="246"/>
      <c r="E86" s="15"/>
      <c r="F86" s="16"/>
      <c r="G86" s="16"/>
      <c r="H86" s="16"/>
      <c r="I86" s="16">
        <f t="shared" si="3"/>
        <v>0</v>
      </c>
      <c r="K86" s="246"/>
      <c r="L86" s="246"/>
      <c r="M86" s="246"/>
      <c r="N86" s="15"/>
      <c r="O86" s="16"/>
      <c r="P86" s="16"/>
      <c r="Q86" s="16"/>
      <c r="R86" s="16"/>
      <c r="T86" s="246"/>
      <c r="U86" s="246"/>
      <c r="V86" s="246"/>
      <c r="W86" s="15"/>
      <c r="X86" s="16"/>
      <c r="Y86" s="16"/>
      <c r="Z86" s="16"/>
      <c r="AA86" s="11"/>
    </row>
    <row r="87" spans="2:27" x14ac:dyDescent="0.25">
      <c r="B87" s="246">
        <v>1</v>
      </c>
      <c r="C87" s="246">
        <v>2519612301</v>
      </c>
      <c r="D87" s="246"/>
      <c r="E87" s="15"/>
      <c r="F87" s="16"/>
      <c r="G87" s="16"/>
      <c r="H87" s="16"/>
      <c r="I87" s="16">
        <f t="shared" si="3"/>
        <v>0</v>
      </c>
      <c r="K87" s="246"/>
      <c r="L87" s="246"/>
      <c r="M87" s="246"/>
      <c r="N87" s="15"/>
      <c r="O87" s="16"/>
      <c r="P87" s="16"/>
      <c r="Q87" s="16"/>
      <c r="R87" s="16"/>
      <c r="T87" s="246"/>
      <c r="U87" s="246"/>
      <c r="V87" s="246"/>
      <c r="W87" s="15"/>
      <c r="X87" s="16"/>
      <c r="Y87" s="16"/>
      <c r="Z87" s="16"/>
      <c r="AA87" s="11"/>
    </row>
    <row r="88" spans="2:27" x14ac:dyDescent="0.25">
      <c r="B88" s="246"/>
      <c r="C88" s="246"/>
      <c r="D88" s="246"/>
      <c r="E88" s="15"/>
      <c r="F88" s="16"/>
      <c r="G88" s="16"/>
      <c r="H88" s="16"/>
      <c r="I88" s="16">
        <f t="shared" si="3"/>
        <v>0</v>
      </c>
      <c r="K88" s="246"/>
      <c r="L88" s="246"/>
      <c r="M88" s="246"/>
      <c r="N88" s="15"/>
      <c r="O88" s="16"/>
      <c r="P88" s="16"/>
      <c r="Q88" s="16"/>
      <c r="R88" s="16"/>
      <c r="T88" s="246"/>
      <c r="U88" s="246"/>
      <c r="V88" s="246"/>
      <c r="W88" s="15"/>
      <c r="X88" s="16"/>
      <c r="Y88" s="16"/>
      <c r="Z88" s="16"/>
      <c r="AA88" s="11"/>
    </row>
    <row r="89" spans="2:27" x14ac:dyDescent="0.25">
      <c r="B89" s="246"/>
      <c r="C89" s="246"/>
      <c r="D89" s="246"/>
      <c r="E89" s="15"/>
      <c r="F89" s="16"/>
      <c r="G89" s="16"/>
      <c r="H89" s="16"/>
      <c r="I89" s="16">
        <f t="shared" si="3"/>
        <v>0</v>
      </c>
      <c r="K89" s="246"/>
      <c r="L89" s="246"/>
      <c r="M89" s="246"/>
      <c r="N89" s="15"/>
      <c r="O89" s="16"/>
      <c r="P89" s="16"/>
      <c r="Q89" s="16"/>
      <c r="R89" s="16"/>
      <c r="T89" s="246"/>
      <c r="U89" s="246"/>
      <c r="V89" s="246"/>
      <c r="W89" s="15"/>
      <c r="X89" s="16"/>
      <c r="Y89" s="16"/>
      <c r="Z89" s="16"/>
      <c r="AA89" s="11"/>
    </row>
    <row r="90" spans="2:27" x14ac:dyDescent="0.25">
      <c r="B90" s="246">
        <v>1</v>
      </c>
      <c r="C90" s="246">
        <v>2519812301</v>
      </c>
      <c r="D90" s="246"/>
      <c r="E90" s="15"/>
      <c r="F90" s="16"/>
      <c r="G90" s="16"/>
      <c r="H90" s="16"/>
      <c r="I90" s="16">
        <f t="shared" si="3"/>
        <v>0</v>
      </c>
      <c r="K90" s="246"/>
      <c r="L90" s="246"/>
      <c r="M90" s="246"/>
      <c r="N90" s="15"/>
      <c r="O90" s="16"/>
      <c r="P90" s="16"/>
      <c r="Q90" s="16"/>
      <c r="R90" s="16"/>
      <c r="T90" s="246"/>
      <c r="U90" s="246"/>
      <c r="V90" s="246"/>
      <c r="W90" s="15"/>
      <c r="X90" s="16"/>
      <c r="Y90" s="16"/>
      <c r="Z90" s="16"/>
      <c r="AA90" s="11"/>
    </row>
    <row r="91" spans="2:27" x14ac:dyDescent="0.25">
      <c r="B91" s="246"/>
      <c r="C91" s="246"/>
      <c r="D91" s="246"/>
      <c r="E91" s="15"/>
      <c r="F91" s="16"/>
      <c r="G91" s="16"/>
      <c r="H91" s="16"/>
      <c r="I91" s="16">
        <f t="shared" si="3"/>
        <v>0</v>
      </c>
      <c r="K91" s="246"/>
      <c r="L91" s="246"/>
      <c r="M91" s="246"/>
      <c r="N91" s="15"/>
      <c r="O91" s="16"/>
      <c r="P91" s="16"/>
      <c r="Q91" s="16"/>
      <c r="R91" s="16"/>
      <c r="T91" s="246"/>
      <c r="U91" s="246"/>
      <c r="V91" s="246"/>
      <c r="W91" s="15"/>
      <c r="X91" s="16"/>
      <c r="Y91" s="16"/>
      <c r="Z91" s="16"/>
      <c r="AA91" s="11"/>
    </row>
    <row r="92" spans="2:27" x14ac:dyDescent="0.25">
      <c r="B92" s="246"/>
      <c r="C92" s="246"/>
      <c r="D92" s="246"/>
      <c r="E92" s="15"/>
      <c r="F92" s="16"/>
      <c r="G92" s="16"/>
      <c r="H92" s="16"/>
      <c r="I92" s="16">
        <f t="shared" si="3"/>
        <v>0</v>
      </c>
      <c r="K92" s="246"/>
      <c r="L92" s="246"/>
      <c r="M92" s="246"/>
      <c r="N92" s="15"/>
      <c r="O92" s="16"/>
      <c r="P92" s="16"/>
      <c r="Q92" s="16"/>
      <c r="R92" s="16"/>
      <c r="T92" s="246"/>
      <c r="U92" s="246"/>
      <c r="V92" s="246"/>
      <c r="W92" s="15"/>
      <c r="X92" s="16"/>
      <c r="Y92" s="16"/>
      <c r="Z92" s="16"/>
      <c r="AA92" s="11"/>
    </row>
    <row r="93" spans="2:27" x14ac:dyDescent="0.25">
      <c r="B93" s="246">
        <v>1</v>
      </c>
      <c r="C93" s="246">
        <v>2519912301</v>
      </c>
      <c r="D93" s="246"/>
      <c r="E93" s="15"/>
      <c r="F93" s="16"/>
      <c r="G93" s="16"/>
      <c r="H93" s="16"/>
      <c r="I93" s="16">
        <f t="shared" si="3"/>
        <v>0</v>
      </c>
      <c r="K93" s="246"/>
      <c r="L93" s="246"/>
      <c r="M93" s="246"/>
      <c r="N93" s="15"/>
      <c r="O93" s="16"/>
      <c r="P93" s="16"/>
      <c r="Q93" s="16"/>
      <c r="R93" s="16"/>
      <c r="T93" s="246"/>
      <c r="U93" s="246"/>
      <c r="V93" s="246"/>
      <c r="W93" s="15"/>
      <c r="X93" s="16"/>
      <c r="Y93" s="16"/>
      <c r="Z93" s="16"/>
      <c r="AA93" s="11"/>
    </row>
    <row r="94" spans="2:27" x14ac:dyDescent="0.25">
      <c r="B94" s="246"/>
      <c r="C94" s="246"/>
      <c r="D94" s="246"/>
      <c r="E94" s="15"/>
      <c r="F94" s="16"/>
      <c r="G94" s="16"/>
      <c r="H94" s="16"/>
      <c r="I94" s="16">
        <f t="shared" si="3"/>
        <v>0</v>
      </c>
      <c r="K94" s="246"/>
      <c r="L94" s="246"/>
      <c r="M94" s="246"/>
      <c r="N94" s="15"/>
      <c r="O94" s="16"/>
      <c r="P94" s="16"/>
      <c r="Q94" s="16"/>
      <c r="R94" s="16"/>
      <c r="T94" s="246"/>
      <c r="U94" s="246"/>
      <c r="V94" s="246"/>
      <c r="W94" s="15"/>
      <c r="X94" s="16"/>
      <c r="Y94" s="16"/>
      <c r="Z94" s="16"/>
      <c r="AA94" s="11"/>
    </row>
    <row r="95" spans="2:27" x14ac:dyDescent="0.25">
      <c r="B95" s="246"/>
      <c r="C95" s="246"/>
      <c r="D95" s="246"/>
      <c r="E95" s="15"/>
      <c r="F95" s="16"/>
      <c r="G95" s="16"/>
      <c r="H95" s="16"/>
      <c r="I95" s="16">
        <f t="shared" si="3"/>
        <v>0</v>
      </c>
      <c r="K95" s="246"/>
      <c r="L95" s="246"/>
      <c r="M95" s="246"/>
      <c r="N95" s="15"/>
      <c r="O95" s="16"/>
      <c r="P95" s="16"/>
      <c r="Q95" s="16"/>
      <c r="R95" s="16"/>
      <c r="T95" s="246"/>
      <c r="U95" s="246"/>
      <c r="V95" s="246"/>
      <c r="W95" s="15"/>
      <c r="X95" s="16"/>
      <c r="Y95" s="16"/>
      <c r="Z95" s="16"/>
      <c r="AA95" s="11"/>
    </row>
    <row r="96" spans="2:27" x14ac:dyDescent="0.25">
      <c r="B96" s="246">
        <v>1</v>
      </c>
      <c r="C96" s="246">
        <v>2520112301</v>
      </c>
      <c r="D96" s="246"/>
      <c r="E96" s="15"/>
      <c r="F96" s="16"/>
      <c r="G96" s="16"/>
      <c r="H96" s="16"/>
      <c r="I96" s="16">
        <f t="shared" si="3"/>
        <v>0</v>
      </c>
      <c r="K96" s="246"/>
      <c r="L96" s="246"/>
      <c r="M96" s="246"/>
      <c r="N96" s="15"/>
      <c r="O96" s="16"/>
      <c r="P96" s="16"/>
      <c r="Q96" s="16"/>
      <c r="R96" s="16"/>
      <c r="T96" s="246"/>
      <c r="U96" s="246"/>
      <c r="V96" s="246"/>
      <c r="W96" s="15"/>
      <c r="X96" s="16"/>
      <c r="Y96" s="16"/>
      <c r="Z96" s="16"/>
      <c r="AA96" s="11"/>
    </row>
    <row r="97" spans="2:27" x14ac:dyDescent="0.25">
      <c r="B97" s="246"/>
      <c r="C97" s="246"/>
      <c r="D97" s="246"/>
      <c r="E97" s="15"/>
      <c r="F97" s="16"/>
      <c r="G97" s="16"/>
      <c r="H97" s="16"/>
      <c r="I97" s="16">
        <f t="shared" si="3"/>
        <v>0</v>
      </c>
      <c r="K97" s="246"/>
      <c r="L97" s="246"/>
      <c r="M97" s="246"/>
      <c r="N97" s="15"/>
      <c r="O97" s="16"/>
      <c r="P97" s="16"/>
      <c r="Q97" s="16"/>
      <c r="R97" s="16"/>
      <c r="T97" s="246"/>
      <c r="U97" s="246"/>
      <c r="V97" s="246"/>
      <c r="W97" s="15"/>
      <c r="X97" s="16"/>
      <c r="Y97" s="16"/>
      <c r="Z97" s="16"/>
      <c r="AA97" s="11"/>
    </row>
    <row r="98" spans="2:27" x14ac:dyDescent="0.25">
      <c r="B98" s="246"/>
      <c r="C98" s="246"/>
      <c r="D98" s="246"/>
      <c r="E98" s="15"/>
      <c r="F98" s="16"/>
      <c r="G98" s="16"/>
      <c r="H98" s="16"/>
      <c r="I98" s="16">
        <f t="shared" si="3"/>
        <v>0</v>
      </c>
      <c r="K98" s="246"/>
      <c r="L98" s="246"/>
      <c r="M98" s="246"/>
      <c r="N98" s="15"/>
      <c r="O98" s="16"/>
      <c r="P98" s="16"/>
      <c r="Q98" s="16"/>
      <c r="R98" s="16"/>
      <c r="T98" s="246"/>
      <c r="U98" s="246"/>
      <c r="V98" s="246"/>
      <c r="W98" s="15"/>
      <c r="X98" s="16"/>
      <c r="Y98" s="16"/>
      <c r="Z98" s="16"/>
      <c r="AA98" s="11"/>
    </row>
    <row r="99" spans="2:27" x14ac:dyDescent="0.25">
      <c r="B99" s="246">
        <v>1</v>
      </c>
      <c r="C99" s="246">
        <v>2520212301</v>
      </c>
      <c r="D99" s="246"/>
      <c r="E99" s="15"/>
      <c r="F99" s="16"/>
      <c r="G99" s="16"/>
      <c r="H99" s="16"/>
      <c r="I99" s="16">
        <f t="shared" si="3"/>
        <v>0</v>
      </c>
      <c r="K99" s="246"/>
      <c r="L99" s="246"/>
      <c r="M99" s="246"/>
      <c r="N99" s="15"/>
      <c r="O99" s="16"/>
      <c r="P99" s="16"/>
      <c r="Q99" s="16"/>
      <c r="R99" s="16"/>
      <c r="T99" s="246"/>
      <c r="U99" s="246"/>
      <c r="V99" s="246"/>
      <c r="W99" s="15"/>
      <c r="X99" s="16"/>
      <c r="Y99" s="16"/>
      <c r="Z99" s="16"/>
      <c r="AA99" s="11"/>
    </row>
    <row r="100" spans="2:27" x14ac:dyDescent="0.25">
      <c r="B100" s="246"/>
      <c r="C100" s="246"/>
      <c r="D100" s="246"/>
      <c r="E100" s="15"/>
      <c r="F100" s="16"/>
      <c r="G100" s="16"/>
      <c r="H100" s="16"/>
      <c r="I100" s="16">
        <f t="shared" si="3"/>
        <v>0</v>
      </c>
      <c r="K100" s="246"/>
      <c r="L100" s="246"/>
      <c r="M100" s="246"/>
      <c r="N100" s="15"/>
      <c r="O100" s="16"/>
      <c r="P100" s="16"/>
      <c r="Q100" s="16"/>
      <c r="R100" s="16"/>
      <c r="T100" s="246"/>
      <c r="U100" s="246"/>
      <c r="V100" s="246"/>
      <c r="W100" s="15"/>
      <c r="X100" s="16"/>
      <c r="Y100" s="16"/>
      <c r="Z100" s="16"/>
      <c r="AA100" s="11"/>
    </row>
    <row r="101" spans="2:27" x14ac:dyDescent="0.25">
      <c r="B101" s="246"/>
      <c r="C101" s="246"/>
      <c r="D101" s="246"/>
      <c r="E101" s="15"/>
      <c r="F101" s="16"/>
      <c r="G101" s="16"/>
      <c r="H101" s="16"/>
      <c r="I101" s="16">
        <f t="shared" si="3"/>
        <v>0</v>
      </c>
      <c r="K101" s="246"/>
      <c r="L101" s="246"/>
      <c r="M101" s="246"/>
      <c r="N101" s="15"/>
      <c r="O101" s="16"/>
      <c r="P101" s="16"/>
      <c r="Q101" s="16"/>
      <c r="R101" s="16"/>
      <c r="T101" s="246"/>
      <c r="U101" s="246"/>
      <c r="V101" s="246"/>
      <c r="W101" s="15"/>
      <c r="X101" s="16"/>
      <c r="Y101" s="16"/>
      <c r="Z101" s="16"/>
      <c r="AA101" s="11"/>
    </row>
    <row r="102" spans="2:27" x14ac:dyDescent="0.25">
      <c r="B102" s="246">
        <v>1</v>
      </c>
      <c r="C102" s="246">
        <v>2520312301</v>
      </c>
      <c r="D102" s="246"/>
      <c r="E102" s="15"/>
      <c r="F102" s="16"/>
      <c r="G102" s="16"/>
      <c r="H102" s="16"/>
      <c r="I102" s="16">
        <f t="shared" si="3"/>
        <v>0</v>
      </c>
      <c r="K102" s="246"/>
      <c r="L102" s="246"/>
      <c r="M102" s="246"/>
      <c r="N102" s="15"/>
      <c r="O102" s="16"/>
      <c r="P102" s="16"/>
      <c r="Q102" s="16"/>
      <c r="R102" s="16"/>
      <c r="T102" s="246"/>
      <c r="U102" s="246"/>
      <c r="V102" s="246"/>
      <c r="W102" s="15"/>
      <c r="X102" s="16"/>
      <c r="Y102" s="16"/>
      <c r="Z102" s="16"/>
      <c r="AA102" s="11"/>
    </row>
    <row r="103" spans="2:27" x14ac:dyDescent="0.25">
      <c r="B103" s="246"/>
      <c r="C103" s="246"/>
      <c r="D103" s="246"/>
      <c r="E103" s="15"/>
      <c r="F103" s="16"/>
      <c r="G103" s="16"/>
      <c r="H103" s="16"/>
      <c r="I103" s="16">
        <f t="shared" si="3"/>
        <v>0</v>
      </c>
      <c r="K103" s="246"/>
      <c r="L103" s="246"/>
      <c r="M103" s="246"/>
      <c r="N103" s="15"/>
      <c r="O103" s="16"/>
      <c r="P103" s="16"/>
      <c r="Q103" s="16"/>
      <c r="R103" s="16"/>
      <c r="T103" s="246"/>
      <c r="U103" s="246"/>
      <c r="V103" s="246"/>
      <c r="W103" s="15"/>
      <c r="X103" s="16"/>
      <c r="Y103" s="16"/>
      <c r="Z103" s="16"/>
      <c r="AA103" s="11"/>
    </row>
    <row r="104" spans="2:27" x14ac:dyDescent="0.25">
      <c r="B104" s="246"/>
      <c r="C104" s="246"/>
      <c r="D104" s="246"/>
      <c r="E104" s="15"/>
      <c r="F104" s="16"/>
      <c r="G104" s="16"/>
      <c r="H104" s="16"/>
      <c r="I104" s="16">
        <f t="shared" si="3"/>
        <v>0</v>
      </c>
    </row>
    <row r="105" spans="2:27" x14ac:dyDescent="0.25">
      <c r="B105" s="246">
        <v>1</v>
      </c>
      <c r="C105" s="246">
        <v>2520312302</v>
      </c>
      <c r="D105" s="246"/>
      <c r="E105" s="15"/>
      <c r="F105" s="16"/>
      <c r="G105" s="16"/>
      <c r="H105" s="16"/>
      <c r="I105" s="16">
        <f t="shared" si="3"/>
        <v>0</v>
      </c>
    </row>
    <row r="106" spans="2:27" x14ac:dyDescent="0.25">
      <c r="B106" s="246"/>
      <c r="C106" s="246"/>
      <c r="D106" s="246"/>
      <c r="E106" s="15"/>
      <c r="F106" s="16"/>
      <c r="G106" s="16"/>
      <c r="H106" s="16"/>
      <c r="I106" s="16">
        <f t="shared" si="3"/>
        <v>0</v>
      </c>
    </row>
    <row r="107" spans="2:27" x14ac:dyDescent="0.25">
      <c r="B107" s="246"/>
      <c r="C107" s="246"/>
      <c r="D107" s="246"/>
      <c r="E107" s="15"/>
      <c r="F107" s="16"/>
      <c r="G107" s="16"/>
      <c r="H107" s="16"/>
      <c r="I107" s="16">
        <f t="shared" si="3"/>
        <v>0</v>
      </c>
    </row>
    <row r="108" spans="2:27" x14ac:dyDescent="0.25">
      <c r="B108" s="246">
        <v>1</v>
      </c>
      <c r="C108" s="246">
        <v>2520712301</v>
      </c>
      <c r="D108" s="246"/>
      <c r="E108" s="15"/>
      <c r="F108" s="16"/>
      <c r="G108" s="16"/>
      <c r="H108" s="16"/>
      <c r="I108" s="16">
        <f t="shared" si="3"/>
        <v>0</v>
      </c>
    </row>
    <row r="109" spans="2:27" x14ac:dyDescent="0.25">
      <c r="B109" s="246"/>
      <c r="C109" s="246"/>
      <c r="D109" s="246"/>
      <c r="E109" s="15"/>
      <c r="F109" s="16"/>
      <c r="G109" s="16"/>
      <c r="H109" s="16"/>
      <c r="I109" s="16">
        <f t="shared" si="3"/>
        <v>0</v>
      </c>
    </row>
    <row r="110" spans="2:27" x14ac:dyDescent="0.25">
      <c r="B110" s="246"/>
      <c r="C110" s="246"/>
      <c r="D110" s="246"/>
      <c r="E110" s="15"/>
      <c r="F110" s="16"/>
      <c r="G110" s="16"/>
      <c r="H110" s="16"/>
      <c r="I110" s="16">
        <f t="shared" si="3"/>
        <v>0</v>
      </c>
    </row>
    <row r="111" spans="2:27" x14ac:dyDescent="0.25">
      <c r="B111" s="246">
        <v>1</v>
      </c>
      <c r="C111" s="246">
        <v>2521312301</v>
      </c>
      <c r="D111" s="246"/>
      <c r="E111" s="15"/>
      <c r="F111" s="16"/>
      <c r="G111" s="16"/>
      <c r="H111" s="16"/>
      <c r="I111" s="16">
        <f t="shared" si="3"/>
        <v>0</v>
      </c>
    </row>
    <row r="112" spans="2:27" x14ac:dyDescent="0.25">
      <c r="B112" s="246"/>
      <c r="C112" s="246"/>
      <c r="D112" s="246"/>
      <c r="E112" s="15"/>
      <c r="F112" s="16"/>
      <c r="G112" s="16"/>
      <c r="H112" s="16"/>
      <c r="I112" s="16">
        <f t="shared" si="3"/>
        <v>0</v>
      </c>
    </row>
    <row r="113" spans="2:9" x14ac:dyDescent="0.25">
      <c r="B113" s="246"/>
      <c r="C113" s="246"/>
      <c r="D113" s="246"/>
      <c r="E113" s="15"/>
      <c r="F113" s="16"/>
      <c r="G113" s="16"/>
      <c r="H113" s="16"/>
      <c r="I113" s="16">
        <f t="shared" si="3"/>
        <v>0</v>
      </c>
    </row>
    <row r="114" spans="2:9" x14ac:dyDescent="0.25">
      <c r="B114" s="246"/>
      <c r="C114" s="246"/>
      <c r="D114" s="246"/>
      <c r="E114" s="15"/>
      <c r="F114" s="16"/>
      <c r="G114" s="16"/>
      <c r="H114" s="16"/>
      <c r="I114" s="16">
        <f t="shared" si="3"/>
        <v>0</v>
      </c>
    </row>
    <row r="115" spans="2:9" x14ac:dyDescent="0.25">
      <c r="B115" s="246"/>
      <c r="C115" s="246"/>
      <c r="D115" s="246"/>
      <c r="E115" s="15"/>
      <c r="F115" s="16"/>
      <c r="G115" s="16"/>
      <c r="H115" s="16"/>
      <c r="I115" s="16">
        <f t="shared" si="3"/>
        <v>0</v>
      </c>
    </row>
    <row r="116" spans="2:9" x14ac:dyDescent="0.25">
      <c r="B116" s="246"/>
      <c r="C116" s="246"/>
      <c r="D116" s="246"/>
      <c r="E116" s="15"/>
      <c r="F116" s="16"/>
      <c r="G116" s="16"/>
      <c r="H116" s="16"/>
      <c r="I116" s="16">
        <f t="shared" si="3"/>
        <v>0</v>
      </c>
    </row>
    <row r="117" spans="2:9" x14ac:dyDescent="0.25">
      <c r="B117" s="246"/>
      <c r="C117" s="246"/>
      <c r="D117" s="246"/>
      <c r="E117" s="15"/>
      <c r="F117" s="16"/>
      <c r="G117" s="16"/>
      <c r="H117" s="16"/>
      <c r="I117" s="16">
        <f t="shared" si="3"/>
        <v>0</v>
      </c>
    </row>
    <row r="118" spans="2:9" x14ac:dyDescent="0.25">
      <c r="B118" s="246"/>
      <c r="C118" s="246"/>
      <c r="D118" s="246"/>
      <c r="E118" s="15"/>
      <c r="F118" s="16"/>
      <c r="G118" s="16"/>
      <c r="H118" s="16"/>
      <c r="I118" s="16">
        <f t="shared" si="3"/>
        <v>0</v>
      </c>
    </row>
    <row r="119" spans="2:9" x14ac:dyDescent="0.25">
      <c r="B119" s="246"/>
      <c r="C119" s="246"/>
      <c r="D119" s="246"/>
      <c r="E119" s="15"/>
      <c r="F119" s="16"/>
      <c r="G119" s="16"/>
      <c r="H119" s="16"/>
      <c r="I119" s="16">
        <f t="shared" si="3"/>
        <v>0</v>
      </c>
    </row>
    <row r="120" spans="2:9" x14ac:dyDescent="0.25">
      <c r="B120" s="246"/>
      <c r="C120" s="246"/>
      <c r="D120" s="246"/>
      <c r="E120" s="15"/>
      <c r="F120" s="16"/>
      <c r="G120" s="16"/>
      <c r="H120" s="16"/>
      <c r="I120" s="16">
        <f t="shared" si="3"/>
        <v>0</v>
      </c>
    </row>
    <row r="121" spans="2:9" x14ac:dyDescent="0.25">
      <c r="B121" s="246"/>
      <c r="C121" s="246"/>
      <c r="D121" s="246"/>
      <c r="E121" s="15"/>
      <c r="F121" s="16"/>
      <c r="G121" s="16"/>
      <c r="H121" s="16"/>
      <c r="I121" s="16">
        <f t="shared" si="3"/>
        <v>0</v>
      </c>
    </row>
    <row r="122" spans="2:9" x14ac:dyDescent="0.25">
      <c r="B122" s="246"/>
      <c r="C122" s="246"/>
      <c r="D122" s="246"/>
      <c r="E122" s="15"/>
      <c r="F122" s="16"/>
      <c r="G122" s="16"/>
      <c r="H122" s="16"/>
      <c r="I122" s="16">
        <f t="shared" si="3"/>
        <v>0</v>
      </c>
    </row>
    <row r="123" spans="2:9" x14ac:dyDescent="0.25">
      <c r="B123" s="246"/>
      <c r="C123" s="246"/>
      <c r="D123" s="246"/>
      <c r="E123" s="15"/>
      <c r="F123" s="16"/>
      <c r="G123" s="16"/>
      <c r="H123" s="16"/>
      <c r="I123" s="16">
        <f t="shared" si="3"/>
        <v>0</v>
      </c>
    </row>
    <row r="124" spans="2:9" x14ac:dyDescent="0.25">
      <c r="B124" s="246"/>
      <c r="C124" s="246"/>
      <c r="D124" s="246"/>
      <c r="E124" s="15"/>
      <c r="F124" s="16"/>
      <c r="G124" s="16"/>
      <c r="H124" s="16"/>
      <c r="I124" s="16">
        <f t="shared" si="3"/>
        <v>0</v>
      </c>
    </row>
    <row r="125" spans="2:9" x14ac:dyDescent="0.25">
      <c r="B125" s="246"/>
      <c r="C125" s="246"/>
      <c r="D125" s="246"/>
      <c r="E125" s="15"/>
      <c r="F125" s="16"/>
      <c r="G125" s="16"/>
      <c r="H125" s="16"/>
      <c r="I125" s="16">
        <f t="shared" si="3"/>
        <v>0</v>
      </c>
    </row>
    <row r="126" spans="2:9" x14ac:dyDescent="0.25">
      <c r="B126" s="246"/>
      <c r="C126" s="246"/>
      <c r="D126" s="246"/>
      <c r="E126" s="15"/>
      <c r="F126" s="16"/>
      <c r="G126" s="16"/>
      <c r="H126" s="16"/>
      <c r="I126" s="16">
        <f t="shared" si="3"/>
        <v>0</v>
      </c>
    </row>
    <row r="127" spans="2:9" x14ac:dyDescent="0.25">
      <c r="B127" s="246"/>
      <c r="C127" s="246"/>
      <c r="D127" s="246"/>
      <c r="E127" s="15"/>
      <c r="F127" s="16"/>
      <c r="G127" s="16"/>
      <c r="H127" s="16"/>
      <c r="I127" s="16">
        <f t="shared" si="3"/>
        <v>0</v>
      </c>
    </row>
    <row r="128" spans="2:9" x14ac:dyDescent="0.25">
      <c r="B128" s="246"/>
      <c r="C128" s="246"/>
      <c r="D128" s="246"/>
      <c r="E128" s="15"/>
      <c r="F128" s="16"/>
      <c r="G128" s="16"/>
      <c r="H128" s="16"/>
      <c r="I128" s="16">
        <f t="shared" si="3"/>
        <v>0</v>
      </c>
    </row>
    <row r="129" spans="2:9" x14ac:dyDescent="0.25">
      <c r="B129" s="246"/>
      <c r="C129" s="246"/>
      <c r="D129" s="246"/>
      <c r="E129" s="15"/>
      <c r="F129" s="16"/>
      <c r="G129" s="16"/>
      <c r="H129" s="16"/>
      <c r="I129" s="16">
        <f t="shared" si="3"/>
        <v>0</v>
      </c>
    </row>
    <row r="130" spans="2:9" x14ac:dyDescent="0.25">
      <c r="B130" s="246"/>
      <c r="C130" s="246"/>
      <c r="D130" s="246"/>
      <c r="E130" s="15"/>
      <c r="F130" s="16"/>
      <c r="G130" s="16"/>
      <c r="H130" s="16"/>
      <c r="I130" s="16">
        <f t="shared" si="3"/>
        <v>0</v>
      </c>
    </row>
    <row r="131" spans="2:9" x14ac:dyDescent="0.25">
      <c r="B131" s="246"/>
      <c r="C131" s="246"/>
      <c r="D131" s="246"/>
      <c r="E131" s="15"/>
      <c r="F131" s="16"/>
      <c r="G131" s="16"/>
      <c r="H131" s="16"/>
      <c r="I131" s="16">
        <f t="shared" si="3"/>
        <v>0</v>
      </c>
    </row>
    <row r="132" spans="2:9" x14ac:dyDescent="0.25">
      <c r="B132" s="246"/>
      <c r="C132" s="246"/>
      <c r="D132" s="246"/>
      <c r="E132" s="15"/>
      <c r="F132" s="16"/>
      <c r="G132" s="16"/>
      <c r="H132" s="16"/>
      <c r="I132" s="16">
        <f t="shared" si="3"/>
        <v>0</v>
      </c>
    </row>
    <row r="133" spans="2:9" x14ac:dyDescent="0.25">
      <c r="B133" s="246"/>
      <c r="C133" s="246"/>
      <c r="D133" s="246"/>
      <c r="E133" s="15"/>
      <c r="F133" s="16"/>
      <c r="G133" s="16"/>
      <c r="H133" s="16"/>
      <c r="I133" s="16">
        <f t="shared" si="3"/>
        <v>0</v>
      </c>
    </row>
    <row r="134" spans="2:9" x14ac:dyDescent="0.25">
      <c r="B134" s="246"/>
      <c r="C134" s="246"/>
      <c r="D134" s="246"/>
      <c r="E134" s="15"/>
      <c r="F134" s="16"/>
      <c r="G134" s="16"/>
      <c r="H134" s="16"/>
      <c r="I134" s="16">
        <f>+F134-SUM(G134:H134)</f>
        <v>0</v>
      </c>
    </row>
    <row r="135" spans="2:9" x14ac:dyDescent="0.25">
      <c r="B135" s="15"/>
      <c r="C135" s="246"/>
      <c r="D135" s="246"/>
      <c r="E135" s="15"/>
      <c r="F135" s="16"/>
      <c r="G135" s="16"/>
      <c r="H135" s="16"/>
      <c r="I135" s="16">
        <f>+F135-SUM(G135:H135)</f>
        <v>0</v>
      </c>
    </row>
  </sheetData>
  <mergeCells count="231">
    <mergeCell ref="B2:I2"/>
    <mergeCell ref="K2:R2"/>
    <mergeCell ref="T2:AA2"/>
    <mergeCell ref="C135:D135"/>
    <mergeCell ref="B3:B4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123:B125"/>
    <mergeCell ref="B126:B128"/>
    <mergeCell ref="B129:B131"/>
    <mergeCell ref="B132:B134"/>
    <mergeCell ref="K3:K4"/>
    <mergeCell ref="K6:K8"/>
    <mergeCell ref="K9:K11"/>
    <mergeCell ref="K12:K14"/>
    <mergeCell ref="K15:K17"/>
    <mergeCell ref="K18:K20"/>
    <mergeCell ref="K21:K23"/>
    <mergeCell ref="K24:K26"/>
    <mergeCell ref="K27:K29"/>
    <mergeCell ref="K30:K32"/>
    <mergeCell ref="K33:K35"/>
    <mergeCell ref="K36:K38"/>
    <mergeCell ref="K39:K41"/>
    <mergeCell ref="K42:K44"/>
    <mergeCell ref="K45:K47"/>
    <mergeCell ref="K48:K50"/>
    <mergeCell ref="K51:K53"/>
    <mergeCell ref="K54:K56"/>
    <mergeCell ref="B90:B92"/>
    <mergeCell ref="B60:B62"/>
    <mergeCell ref="B117:B119"/>
    <mergeCell ref="K84:K86"/>
    <mergeCell ref="K96:K98"/>
    <mergeCell ref="K99:K101"/>
    <mergeCell ref="K102:K103"/>
    <mergeCell ref="B57:B59"/>
    <mergeCell ref="B87:B89"/>
    <mergeCell ref="T24:T26"/>
    <mergeCell ref="T27:T29"/>
    <mergeCell ref="K63:K65"/>
    <mergeCell ref="K66:K68"/>
    <mergeCell ref="K69:K71"/>
    <mergeCell ref="K72:K74"/>
    <mergeCell ref="K75:K77"/>
    <mergeCell ref="T30:T32"/>
    <mergeCell ref="T33:T35"/>
    <mergeCell ref="T36:T38"/>
    <mergeCell ref="T39:T41"/>
    <mergeCell ref="T42:T44"/>
    <mergeCell ref="T45:T47"/>
    <mergeCell ref="T48:T50"/>
    <mergeCell ref="T51:T53"/>
    <mergeCell ref="T102:T103"/>
    <mergeCell ref="T90:T92"/>
    <mergeCell ref="T93:T95"/>
    <mergeCell ref="T96:T98"/>
    <mergeCell ref="B120:B122"/>
    <mergeCell ref="B96:B98"/>
    <mergeCell ref="B99:B101"/>
    <mergeCell ref="B102:B104"/>
    <mergeCell ref="B105:B107"/>
    <mergeCell ref="B108:B110"/>
    <mergeCell ref="B111:B113"/>
    <mergeCell ref="B114:B116"/>
    <mergeCell ref="B63:B65"/>
    <mergeCell ref="B66:B68"/>
    <mergeCell ref="B69:B71"/>
    <mergeCell ref="B72:B74"/>
    <mergeCell ref="B75:B77"/>
    <mergeCell ref="B78:B80"/>
    <mergeCell ref="B81:B83"/>
    <mergeCell ref="B84:B86"/>
    <mergeCell ref="B93:B95"/>
    <mergeCell ref="L102:M103"/>
    <mergeCell ref="C75:D77"/>
    <mergeCell ref="C36:D38"/>
    <mergeCell ref="L96:M98"/>
    <mergeCell ref="L99:M101"/>
    <mergeCell ref="K60:K62"/>
    <mergeCell ref="K78:K80"/>
    <mergeCell ref="K81:K83"/>
    <mergeCell ref="T99:T101"/>
    <mergeCell ref="T54:T56"/>
    <mergeCell ref="T57:T59"/>
    <mergeCell ref="T60:T62"/>
    <mergeCell ref="T63:T65"/>
    <mergeCell ref="T66:T68"/>
    <mergeCell ref="T69:T71"/>
    <mergeCell ref="T72:T74"/>
    <mergeCell ref="T75:T77"/>
    <mergeCell ref="T78:T80"/>
    <mergeCell ref="K87:K89"/>
    <mergeCell ref="K90:K92"/>
    <mergeCell ref="K93:K95"/>
    <mergeCell ref="C48:D50"/>
    <mergeCell ref="C39:D41"/>
    <mergeCell ref="C42:D44"/>
    <mergeCell ref="C27:D29"/>
    <mergeCell ref="C30:D32"/>
    <mergeCell ref="C51:D53"/>
    <mergeCell ref="T81:T83"/>
    <mergeCell ref="T84:T86"/>
    <mergeCell ref="T87:T89"/>
    <mergeCell ref="C33:D35"/>
    <mergeCell ref="C18:D20"/>
    <mergeCell ref="E3:I4"/>
    <mergeCell ref="C6:D8"/>
    <mergeCell ref="C9:D11"/>
    <mergeCell ref="L12:M14"/>
    <mergeCell ref="C15:D17"/>
    <mergeCell ref="C24:D26"/>
    <mergeCell ref="C45:D47"/>
    <mergeCell ref="L33:M35"/>
    <mergeCell ref="L75:M77"/>
    <mergeCell ref="C72:D74"/>
    <mergeCell ref="C57:D59"/>
    <mergeCell ref="T18:T20"/>
    <mergeCell ref="T21:T23"/>
    <mergeCell ref="C12:D14"/>
    <mergeCell ref="U36:V38"/>
    <mergeCell ref="U12:V14"/>
    <mergeCell ref="L51:M53"/>
    <mergeCell ref="U54:V56"/>
    <mergeCell ref="U33:V35"/>
    <mergeCell ref="L15:M17"/>
    <mergeCell ref="U18:V20"/>
    <mergeCell ref="U42:V44"/>
    <mergeCell ref="L42:M44"/>
    <mergeCell ref="U45:V47"/>
    <mergeCell ref="L45:M47"/>
    <mergeCell ref="U48:V50"/>
    <mergeCell ref="L48:M50"/>
    <mergeCell ref="L36:M38"/>
    <mergeCell ref="U39:V41"/>
    <mergeCell ref="L39:M41"/>
    <mergeCell ref="U24:V26"/>
    <mergeCell ref="L24:M26"/>
    <mergeCell ref="U27:V29"/>
    <mergeCell ref="L27:M29"/>
    <mergeCell ref="U30:V32"/>
    <mergeCell ref="L30:M32"/>
    <mergeCell ref="U51:V53"/>
    <mergeCell ref="L54:M56"/>
    <mergeCell ref="U72:V74"/>
    <mergeCell ref="L72:M74"/>
    <mergeCell ref="C60:D62"/>
    <mergeCell ref="U60:V62"/>
    <mergeCell ref="L60:M62"/>
    <mergeCell ref="C63:D65"/>
    <mergeCell ref="U63:V65"/>
    <mergeCell ref="L63:M65"/>
    <mergeCell ref="C66:D68"/>
    <mergeCell ref="U66:V68"/>
    <mergeCell ref="L66:M68"/>
    <mergeCell ref="C69:D71"/>
    <mergeCell ref="U69:V71"/>
    <mergeCell ref="L69:M71"/>
    <mergeCell ref="U57:V59"/>
    <mergeCell ref="L57:M59"/>
    <mergeCell ref="K57:K59"/>
    <mergeCell ref="U75:V77"/>
    <mergeCell ref="C54:D56"/>
    <mergeCell ref="W3:AA4"/>
    <mergeCell ref="L18:M20"/>
    <mergeCell ref="C21:D23"/>
    <mergeCell ref="U21:V23"/>
    <mergeCell ref="L21:M23"/>
    <mergeCell ref="U15:V17"/>
    <mergeCell ref="U3:V4"/>
    <mergeCell ref="L3:M4"/>
    <mergeCell ref="N3:R4"/>
    <mergeCell ref="U6:V8"/>
    <mergeCell ref="L6:M8"/>
    <mergeCell ref="U9:V11"/>
    <mergeCell ref="L9:M11"/>
    <mergeCell ref="C3:D4"/>
    <mergeCell ref="T3:T4"/>
    <mergeCell ref="T6:T8"/>
    <mergeCell ref="T9:T11"/>
    <mergeCell ref="T12:T14"/>
    <mergeCell ref="T15:T17"/>
    <mergeCell ref="U102:V103"/>
    <mergeCell ref="C78:D80"/>
    <mergeCell ref="U78:V80"/>
    <mergeCell ref="C81:D83"/>
    <mergeCell ref="U81:V83"/>
    <mergeCell ref="C84:D86"/>
    <mergeCell ref="U84:V86"/>
    <mergeCell ref="C87:D89"/>
    <mergeCell ref="U87:V89"/>
    <mergeCell ref="C90:D92"/>
    <mergeCell ref="U90:V92"/>
    <mergeCell ref="C93:D95"/>
    <mergeCell ref="U93:V95"/>
    <mergeCell ref="C96:D98"/>
    <mergeCell ref="U96:V98"/>
    <mergeCell ref="C99:D101"/>
    <mergeCell ref="U99:V101"/>
    <mergeCell ref="C102:D104"/>
    <mergeCell ref="L78:M80"/>
    <mergeCell ref="L81:M83"/>
    <mergeCell ref="L84:M86"/>
    <mergeCell ref="L87:M89"/>
    <mergeCell ref="L90:M92"/>
    <mergeCell ref="L93:M95"/>
    <mergeCell ref="C132:D134"/>
    <mergeCell ref="C105:D107"/>
    <mergeCell ref="C108:D110"/>
    <mergeCell ref="C111:D113"/>
    <mergeCell ref="C114:D116"/>
    <mergeCell ref="C117:D119"/>
    <mergeCell ref="C120:D122"/>
    <mergeCell ref="C123:D125"/>
    <mergeCell ref="C126:D128"/>
    <mergeCell ref="C129:D131"/>
  </mergeCells>
  <conditionalFormatting sqref="I80:I135">
    <cfRule type="cellIs" dxfId="12" priority="1" operator="lessThan">
      <formula>1000</formula>
    </cfRule>
    <cfRule type="cellIs" dxfId="11" priority="2" operator="equal">
      <formula>1000</formula>
    </cfRule>
    <cfRule type="cellIs" dxfId="10" priority="3" operator="lessThan">
      <formula>1000</formula>
    </cfRule>
    <cfRule type="cellIs" dxfId="9" priority="4" operator="lessThan">
      <formula>999</formula>
    </cfRule>
    <cfRule type="cellIs" dxfId="8" priority="5" operator="lessThan">
      <formula>900</formula>
    </cfRule>
    <cfRule type="cellIs" dxfId="7" priority="6" operator="lessThan">
      <formula>900</formula>
    </cfRule>
    <cfRule type="cellIs" dxfId="6" priority="7" operator="greaterThan">
      <formula>1000</formula>
    </cfRule>
  </conditionalFormatting>
  <conditionalFormatting sqref="R78:R103">
    <cfRule type="cellIs" dxfId="5" priority="155" operator="equal">
      <formula>1000</formula>
    </cfRule>
    <cfRule type="cellIs" dxfId="4" priority="164" operator="lessThan">
      <formula>1000</formula>
    </cfRule>
    <cfRule type="cellIs" dxfId="3" priority="173" operator="greaterThan">
      <formula>1000</formula>
    </cfRule>
  </conditionalFormatting>
  <conditionalFormatting sqref="AA78:AA103">
    <cfRule type="cellIs" dxfId="2" priority="182" operator="equal">
      <formula>1000</formula>
    </cfRule>
    <cfRule type="cellIs" dxfId="1" priority="191" operator="lessThan">
      <formula>1000</formula>
    </cfRule>
    <cfRule type="cellIs" dxfId="0" priority="200" operator="greaterThan">
      <formula>1000</formula>
    </cfRule>
  </conditionalFormatting>
  <pageMargins left="0.78749999999999998" right="0.78749999999999998" top="1.05277777777778" bottom="1.05277777777778" header="0.78749999999999998" footer="0.78749999999999998"/>
  <pageSetup paperSize="9" firstPageNumber="0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H142"/>
  <sheetViews>
    <sheetView zoomScale="110" zoomScaleNormal="110" workbookViewId="0">
      <pane xSplit="1" ySplit="4" topLeftCell="B125" activePane="bottomRight" state="frozen"/>
      <selection pane="topRight"/>
      <selection pane="bottomLeft"/>
      <selection pane="bottomRight" activeCell="K113" sqref="K113"/>
    </sheetView>
  </sheetViews>
  <sheetFormatPr baseColWidth="10" defaultColWidth="9" defaultRowHeight="15" x14ac:dyDescent="0.25"/>
  <cols>
    <col min="1" max="1" width="3.7109375" customWidth="1"/>
    <col min="2" max="2" width="12.7109375" customWidth="1"/>
    <col min="3" max="3" width="18.28515625" customWidth="1"/>
    <col min="4" max="5" width="8.7109375" customWidth="1"/>
    <col min="6" max="6" width="17.7109375" customWidth="1"/>
    <col min="7" max="7" width="1.42578125" customWidth="1"/>
    <col min="8" max="8" width="8.7109375" customWidth="1"/>
    <col min="9" max="9" width="11.42578125"/>
    <col min="10" max="12" width="8.7109375" customWidth="1"/>
    <col min="13" max="13" width="10.85546875" customWidth="1"/>
    <col min="14" max="14" width="11.28515625" customWidth="1"/>
    <col min="15" max="15" width="13.5703125" customWidth="1"/>
    <col min="16" max="16" width="9.42578125" customWidth="1"/>
    <col min="17" max="17" width="1.85546875" customWidth="1"/>
    <col min="18" max="18" width="11" customWidth="1"/>
    <col min="19" max="21" width="8.7109375" customWidth="1"/>
    <col min="22" max="22" width="10.7109375" customWidth="1"/>
    <col min="23" max="23" width="11.85546875" customWidth="1"/>
    <col min="24" max="24" width="13.42578125" customWidth="1"/>
    <col min="25" max="25" width="8.7109375" customWidth="1"/>
    <col min="26" max="26" width="1.5703125" customWidth="1"/>
    <col min="27" max="27" width="11.28515625" customWidth="1"/>
    <col min="28" max="30" width="8.7109375" customWidth="1"/>
    <col min="31" max="31" width="10.28515625" customWidth="1"/>
    <col min="32" max="32" width="11.85546875" customWidth="1"/>
    <col min="33" max="33" width="13.5703125" customWidth="1"/>
    <col min="34" max="34" width="10" customWidth="1"/>
    <col min="35" max="1013" width="8.7109375" customWidth="1"/>
    <col min="1014" max="1025" width="9" customWidth="1"/>
  </cols>
  <sheetData>
    <row r="2" spans="2:34" ht="25.15" customHeight="1" x14ac:dyDescent="0.25">
      <c r="B2" s="258" t="s">
        <v>58</v>
      </c>
      <c r="C2" s="258"/>
      <c r="D2" s="258"/>
      <c r="E2" s="258"/>
      <c r="F2" s="258"/>
      <c r="I2" s="250" t="s">
        <v>58</v>
      </c>
      <c r="J2" s="250"/>
      <c r="K2" s="250"/>
      <c r="L2" s="250"/>
      <c r="M2" s="250"/>
      <c r="N2" s="250"/>
      <c r="O2" s="250"/>
      <c r="P2" s="250"/>
      <c r="R2" s="251" t="s">
        <v>59</v>
      </c>
      <c r="S2" s="251"/>
      <c r="T2" s="251"/>
      <c r="U2" s="251"/>
      <c r="V2" s="251"/>
      <c r="W2" s="251"/>
      <c r="X2" s="251"/>
      <c r="Y2" s="251"/>
      <c r="AA2" s="252" t="s">
        <v>47</v>
      </c>
      <c r="AB2" s="252"/>
      <c r="AC2" s="252"/>
      <c r="AD2" s="252"/>
      <c r="AE2" s="252"/>
      <c r="AF2" s="252"/>
      <c r="AG2" s="252"/>
      <c r="AH2" s="252"/>
    </row>
    <row r="3" spans="2:34" ht="13.9" customHeight="1" x14ac:dyDescent="0.25">
      <c r="B3" s="254" t="s">
        <v>60</v>
      </c>
      <c r="C3" s="255" t="s">
        <v>61</v>
      </c>
      <c r="D3" s="256" t="s">
        <v>62</v>
      </c>
      <c r="E3" s="256"/>
      <c r="F3" s="256"/>
      <c r="I3" s="260" t="s">
        <v>60</v>
      </c>
      <c r="J3" s="262" t="s">
        <v>61</v>
      </c>
      <c r="K3" s="262"/>
      <c r="L3" s="263" t="s">
        <v>62</v>
      </c>
      <c r="M3" s="263"/>
      <c r="N3" s="263"/>
      <c r="O3" s="263"/>
      <c r="P3" s="263"/>
      <c r="R3" s="260" t="s">
        <v>60</v>
      </c>
      <c r="S3" s="262" t="s">
        <v>61</v>
      </c>
      <c r="T3" s="262"/>
      <c r="U3" s="263" t="s">
        <v>62</v>
      </c>
      <c r="V3" s="263"/>
      <c r="W3" s="263"/>
      <c r="X3" s="263"/>
      <c r="Y3" s="263"/>
      <c r="AA3" s="260" t="s">
        <v>60</v>
      </c>
      <c r="AB3" s="262" t="s">
        <v>61</v>
      </c>
      <c r="AC3" s="262"/>
      <c r="AD3" s="263" t="s">
        <v>62</v>
      </c>
      <c r="AE3" s="263"/>
      <c r="AF3" s="263"/>
      <c r="AG3" s="263"/>
      <c r="AH3" s="263"/>
    </row>
    <row r="4" spans="2:34" x14ac:dyDescent="0.25">
      <c r="B4" s="254"/>
      <c r="C4" s="255"/>
      <c r="D4" s="256"/>
      <c r="E4" s="256"/>
      <c r="F4" s="256"/>
      <c r="I4" s="260"/>
      <c r="J4" s="262"/>
      <c r="K4" s="262"/>
      <c r="L4" s="263"/>
      <c r="M4" s="263"/>
      <c r="N4" s="263"/>
      <c r="O4" s="263"/>
      <c r="P4" s="263"/>
      <c r="R4" s="260"/>
      <c r="S4" s="262"/>
      <c r="T4" s="262"/>
      <c r="U4" s="263"/>
      <c r="V4" s="263"/>
      <c r="W4" s="263"/>
      <c r="X4" s="263"/>
      <c r="Y4" s="263"/>
      <c r="AA4" s="260"/>
      <c r="AB4" s="262"/>
      <c r="AC4" s="262"/>
      <c r="AD4" s="263"/>
      <c r="AE4" s="263"/>
      <c r="AF4" s="263"/>
      <c r="AG4" s="263"/>
      <c r="AH4" s="263"/>
    </row>
    <row r="5" spans="2:34" ht="15" customHeight="1" x14ac:dyDescent="0.25">
      <c r="B5" s="1">
        <v>1</v>
      </c>
      <c r="C5" s="2">
        <v>2421712301</v>
      </c>
      <c r="D5" s="259" t="s">
        <v>71</v>
      </c>
      <c r="E5" s="259"/>
      <c r="F5" s="259"/>
      <c r="I5" s="5"/>
      <c r="J5" s="6"/>
      <c r="K5" s="6"/>
      <c r="L5" s="7" t="s">
        <v>63</v>
      </c>
      <c r="M5" s="7" t="s">
        <v>64</v>
      </c>
      <c r="N5" s="7" t="s">
        <v>65</v>
      </c>
      <c r="O5" s="8" t="s">
        <v>66</v>
      </c>
      <c r="P5" s="9" t="s">
        <v>72</v>
      </c>
      <c r="R5" s="5"/>
      <c r="S5" s="6"/>
      <c r="T5" s="6"/>
      <c r="U5" s="7" t="s">
        <v>63</v>
      </c>
      <c r="V5" s="7" t="s">
        <v>64</v>
      </c>
      <c r="W5" s="7" t="s">
        <v>65</v>
      </c>
      <c r="X5" s="8" t="s">
        <v>66</v>
      </c>
      <c r="Y5" s="9" t="s">
        <v>72</v>
      </c>
      <c r="AA5" s="5"/>
      <c r="AB5" s="6"/>
      <c r="AC5" s="6"/>
      <c r="AD5" s="7" t="s">
        <v>63</v>
      </c>
      <c r="AE5" s="7" t="s">
        <v>64</v>
      </c>
      <c r="AF5" s="7" t="s">
        <v>65</v>
      </c>
      <c r="AG5" s="8" t="s">
        <v>66</v>
      </c>
      <c r="AH5" s="9" t="s">
        <v>72</v>
      </c>
    </row>
    <row r="6" spans="2:34" ht="15" customHeight="1" x14ac:dyDescent="0.25">
      <c r="B6" s="3">
        <v>1</v>
      </c>
      <c r="C6" s="4">
        <v>2423812301</v>
      </c>
      <c r="D6" s="253" t="s">
        <v>73</v>
      </c>
      <c r="E6" s="253"/>
      <c r="F6" s="253"/>
      <c r="I6" s="261">
        <v>1</v>
      </c>
      <c r="J6" s="261">
        <v>2423812301</v>
      </c>
      <c r="K6" s="261"/>
      <c r="L6" s="10" t="s">
        <v>68</v>
      </c>
      <c r="M6" s="11">
        <v>1037</v>
      </c>
      <c r="N6" s="11">
        <v>13</v>
      </c>
      <c r="O6" s="11">
        <v>2</v>
      </c>
      <c r="P6" s="11">
        <f>+M6-SUM(N6:O6)</f>
        <v>1022</v>
      </c>
      <c r="R6" s="261">
        <v>1</v>
      </c>
      <c r="S6" s="261">
        <v>2513415401</v>
      </c>
      <c r="T6" s="261"/>
      <c r="U6" s="10" t="s">
        <v>68</v>
      </c>
      <c r="V6" s="11"/>
      <c r="W6" s="11">
        <v>13</v>
      </c>
      <c r="X6" s="11">
        <v>2</v>
      </c>
      <c r="Y6" s="11">
        <f>+V6-SUM(W6:X6)</f>
        <v>-15</v>
      </c>
      <c r="AA6" s="261">
        <v>1</v>
      </c>
      <c r="AB6" s="261">
        <v>2434113501</v>
      </c>
      <c r="AC6" s="261"/>
      <c r="AD6" s="10" t="s">
        <v>68</v>
      </c>
      <c r="AE6" s="11"/>
      <c r="AF6" s="11">
        <v>13</v>
      </c>
      <c r="AG6" s="11">
        <v>2</v>
      </c>
      <c r="AH6" s="11">
        <f>+AE6-SUM(AF6:AG6)</f>
        <v>-15</v>
      </c>
    </row>
    <row r="7" spans="2:34" ht="15" customHeight="1" x14ac:dyDescent="0.25">
      <c r="B7" s="3">
        <v>1</v>
      </c>
      <c r="C7" s="4">
        <v>2424012301</v>
      </c>
      <c r="D7" s="253" t="s">
        <v>74</v>
      </c>
      <c r="E7" s="253"/>
      <c r="F7" s="253"/>
      <c r="I7" s="261"/>
      <c r="J7" s="261"/>
      <c r="K7" s="261"/>
      <c r="L7" s="10" t="s">
        <v>69</v>
      </c>
      <c r="M7" s="11">
        <v>1036</v>
      </c>
      <c r="N7" s="11">
        <v>13</v>
      </c>
      <c r="O7" s="11">
        <v>2</v>
      </c>
      <c r="P7" s="11">
        <f>+M7-SUM(N7:O7)</f>
        <v>1021</v>
      </c>
      <c r="R7" s="261"/>
      <c r="S7" s="261"/>
      <c r="T7" s="261"/>
      <c r="U7" s="10" t="s">
        <v>69</v>
      </c>
      <c r="V7" s="11"/>
      <c r="W7" s="11">
        <v>13</v>
      </c>
      <c r="X7" s="11">
        <v>2</v>
      </c>
      <c r="Y7" s="11">
        <f>+V7-SUM(W7:X7)</f>
        <v>-15</v>
      </c>
      <c r="AA7" s="261"/>
      <c r="AB7" s="261"/>
      <c r="AC7" s="261"/>
      <c r="AD7" s="10" t="s">
        <v>69</v>
      </c>
      <c r="AE7" s="11"/>
      <c r="AF7" s="11">
        <v>13</v>
      </c>
      <c r="AG7" s="11">
        <v>2</v>
      </c>
      <c r="AH7" s="11">
        <f>+AE7-SUM(AF7:AG7)</f>
        <v>-15</v>
      </c>
    </row>
    <row r="8" spans="2:34" x14ac:dyDescent="0.25">
      <c r="B8" s="3">
        <v>1</v>
      </c>
      <c r="C8" s="4">
        <v>2424112301</v>
      </c>
      <c r="D8" s="257"/>
      <c r="E8" s="257"/>
      <c r="F8" s="257"/>
      <c r="I8" s="261"/>
      <c r="J8" s="261"/>
      <c r="K8" s="261"/>
      <c r="L8" s="10" t="s">
        <v>70</v>
      </c>
      <c r="M8" s="11">
        <v>1038</v>
      </c>
      <c r="N8" s="11">
        <v>13</v>
      </c>
      <c r="O8" s="11">
        <v>2</v>
      </c>
      <c r="P8" s="11">
        <f>+M8-SUM(N8:O8)</f>
        <v>1023</v>
      </c>
      <c r="R8" s="261"/>
      <c r="S8" s="261"/>
      <c r="T8" s="261"/>
      <c r="U8" s="10" t="s">
        <v>70</v>
      </c>
      <c r="V8" s="11"/>
      <c r="W8" s="11">
        <v>13</v>
      </c>
      <c r="X8" s="11">
        <v>2</v>
      </c>
      <c r="Y8" s="11">
        <f>+V8-SUM(W8:X8)</f>
        <v>-15</v>
      </c>
      <c r="AA8" s="261"/>
      <c r="AB8" s="261"/>
      <c r="AC8" s="261"/>
      <c r="AD8" s="10" t="s">
        <v>70</v>
      </c>
      <c r="AE8" s="11"/>
      <c r="AF8" s="11">
        <v>13</v>
      </c>
      <c r="AG8" s="11">
        <v>2</v>
      </c>
      <c r="AH8" s="11">
        <f>+AE8-SUM(AF8:AG8)</f>
        <v>-15</v>
      </c>
    </row>
    <row r="9" spans="2:34" x14ac:dyDescent="0.25">
      <c r="B9" s="3">
        <v>1</v>
      </c>
      <c r="C9" s="4">
        <v>2424212301</v>
      </c>
      <c r="D9" s="257"/>
      <c r="E9" s="257"/>
      <c r="F9" s="257"/>
    </row>
    <row r="10" spans="2:34" x14ac:dyDescent="0.25">
      <c r="B10" s="3">
        <v>1</v>
      </c>
      <c r="C10" s="4">
        <v>2424312301</v>
      </c>
      <c r="D10" s="257"/>
      <c r="E10" s="257"/>
      <c r="F10" s="257"/>
    </row>
    <row r="11" spans="2:34" x14ac:dyDescent="0.25">
      <c r="B11" s="3">
        <v>1</v>
      </c>
      <c r="C11" s="4">
        <v>2424412301</v>
      </c>
      <c r="D11" s="257"/>
      <c r="E11" s="257"/>
      <c r="F11" s="257"/>
    </row>
    <row r="12" spans="2:34" x14ac:dyDescent="0.25">
      <c r="B12" s="3">
        <v>1</v>
      </c>
      <c r="C12" s="4">
        <v>2424512301</v>
      </c>
      <c r="D12" s="257"/>
      <c r="E12" s="257"/>
      <c r="F12" s="257"/>
    </row>
    <row r="13" spans="2:34" x14ac:dyDescent="0.25">
      <c r="B13" s="3">
        <v>1</v>
      </c>
      <c r="C13" s="4">
        <v>2424612301</v>
      </c>
      <c r="D13" s="257"/>
      <c r="E13" s="257"/>
      <c r="F13" s="257"/>
    </row>
    <row r="14" spans="2:34" x14ac:dyDescent="0.25">
      <c r="B14" s="3">
        <v>1</v>
      </c>
      <c r="C14" s="4">
        <v>2424712301</v>
      </c>
      <c r="D14" s="257"/>
      <c r="E14" s="257"/>
      <c r="F14" s="257"/>
    </row>
    <row r="15" spans="2:34" x14ac:dyDescent="0.25">
      <c r="B15" s="3">
        <v>1</v>
      </c>
      <c r="C15" s="4">
        <v>2424812301</v>
      </c>
      <c r="D15" s="257"/>
      <c r="E15" s="257"/>
      <c r="F15" s="257"/>
    </row>
    <row r="16" spans="2:34" x14ac:dyDescent="0.25">
      <c r="B16" s="3">
        <v>1</v>
      </c>
      <c r="C16" s="4">
        <v>2425012301</v>
      </c>
      <c r="D16" s="257"/>
      <c r="E16" s="257"/>
      <c r="F16" s="257"/>
    </row>
    <row r="17" spans="2:6" x14ac:dyDescent="0.25">
      <c r="B17" s="3">
        <v>1</v>
      </c>
      <c r="C17" s="4">
        <v>2425112301</v>
      </c>
      <c r="D17" s="257"/>
      <c r="E17" s="257"/>
      <c r="F17" s="257"/>
    </row>
    <row r="18" spans="2:6" x14ac:dyDescent="0.25">
      <c r="B18" s="3">
        <v>1</v>
      </c>
      <c r="C18" s="4">
        <v>2425212301</v>
      </c>
      <c r="D18" s="257"/>
      <c r="E18" s="257"/>
      <c r="F18" s="257"/>
    </row>
    <row r="19" spans="2:6" x14ac:dyDescent="0.25">
      <c r="B19" s="3">
        <v>1</v>
      </c>
      <c r="C19" s="4">
        <v>2425312301</v>
      </c>
      <c r="D19" s="257"/>
      <c r="E19" s="257"/>
      <c r="F19" s="257"/>
    </row>
    <row r="20" spans="2:6" x14ac:dyDescent="0.25">
      <c r="B20" s="3">
        <v>1</v>
      </c>
      <c r="C20" s="4">
        <v>2425512301</v>
      </c>
      <c r="D20" s="257"/>
      <c r="E20" s="257"/>
      <c r="F20" s="257"/>
    </row>
    <row r="21" spans="2:6" x14ac:dyDescent="0.25">
      <c r="B21" s="3">
        <v>1</v>
      </c>
      <c r="C21" s="4">
        <v>2425612301</v>
      </c>
      <c r="D21" s="257"/>
      <c r="E21" s="257"/>
      <c r="F21" s="257"/>
    </row>
    <row r="22" spans="2:6" x14ac:dyDescent="0.25">
      <c r="B22" s="3">
        <v>1</v>
      </c>
      <c r="C22" s="4">
        <v>2427012301</v>
      </c>
      <c r="D22" s="257"/>
      <c r="E22" s="257"/>
      <c r="F22" s="257"/>
    </row>
    <row r="23" spans="2:6" x14ac:dyDescent="0.25">
      <c r="B23" s="3">
        <v>1</v>
      </c>
      <c r="C23" s="4">
        <v>2427212301</v>
      </c>
      <c r="D23" s="257"/>
      <c r="E23" s="257"/>
      <c r="F23" s="257"/>
    </row>
    <row r="24" spans="2:6" ht="15" customHeight="1" x14ac:dyDescent="0.25">
      <c r="B24" s="3">
        <v>1</v>
      </c>
      <c r="C24" s="4">
        <v>2428512301</v>
      </c>
      <c r="D24" s="253" t="s">
        <v>75</v>
      </c>
      <c r="E24" s="253"/>
      <c r="F24" s="253"/>
    </row>
    <row r="25" spans="2:6" ht="15" customHeight="1" x14ac:dyDescent="0.25">
      <c r="B25" s="3">
        <v>1</v>
      </c>
      <c r="C25" s="4">
        <v>2428612301</v>
      </c>
      <c r="D25" s="253" t="s">
        <v>76</v>
      </c>
      <c r="E25" s="253"/>
      <c r="F25" s="253"/>
    </row>
    <row r="26" spans="2:6" ht="15" customHeight="1" x14ac:dyDescent="0.25">
      <c r="B26" s="3">
        <v>1</v>
      </c>
      <c r="C26" s="4">
        <v>2428712301</v>
      </c>
      <c r="D26" s="253" t="s">
        <v>77</v>
      </c>
      <c r="E26" s="253"/>
      <c r="F26" s="253"/>
    </row>
    <row r="27" spans="2:6" ht="15" customHeight="1" x14ac:dyDescent="0.25">
      <c r="B27" s="3">
        <v>1</v>
      </c>
      <c r="C27" s="4">
        <v>2428712302</v>
      </c>
      <c r="D27" s="253" t="s">
        <v>78</v>
      </c>
      <c r="E27" s="253"/>
      <c r="F27" s="253"/>
    </row>
    <row r="28" spans="2:6" ht="15" customHeight="1" x14ac:dyDescent="0.25">
      <c r="B28" s="3">
        <v>1</v>
      </c>
      <c r="C28" s="4">
        <v>2428912301</v>
      </c>
      <c r="D28" s="253" t="s">
        <v>79</v>
      </c>
      <c r="E28" s="253"/>
      <c r="F28" s="253"/>
    </row>
    <row r="29" spans="2:6" ht="15" customHeight="1" x14ac:dyDescent="0.25">
      <c r="B29" s="3">
        <v>1</v>
      </c>
      <c r="C29" s="4">
        <v>2429112301</v>
      </c>
      <c r="D29" s="253" t="s">
        <v>80</v>
      </c>
      <c r="E29" s="253"/>
      <c r="F29" s="253"/>
    </row>
    <row r="30" spans="2:6" ht="15" customHeight="1" x14ac:dyDescent="0.25">
      <c r="B30" s="3">
        <v>1</v>
      </c>
      <c r="C30" s="4">
        <v>2429212301</v>
      </c>
      <c r="D30" s="253" t="s">
        <v>81</v>
      </c>
      <c r="E30" s="253"/>
      <c r="F30" s="253"/>
    </row>
    <row r="31" spans="2:6" ht="15" customHeight="1" x14ac:dyDescent="0.25">
      <c r="B31" s="3">
        <v>1</v>
      </c>
      <c r="C31" s="4">
        <v>2429312301</v>
      </c>
      <c r="D31" s="253" t="s">
        <v>82</v>
      </c>
      <c r="E31" s="253"/>
      <c r="F31" s="253"/>
    </row>
    <row r="32" spans="2:6" x14ac:dyDescent="0.25">
      <c r="B32" s="3">
        <v>1</v>
      </c>
      <c r="C32" s="4">
        <v>2429412301</v>
      </c>
      <c r="D32" s="257"/>
      <c r="E32" s="257"/>
      <c r="F32" s="257"/>
    </row>
    <row r="33" spans="2:6" ht="15" customHeight="1" x14ac:dyDescent="0.25">
      <c r="B33" s="3">
        <v>1</v>
      </c>
      <c r="C33" s="4">
        <v>2429512301</v>
      </c>
      <c r="D33" s="253" t="s">
        <v>83</v>
      </c>
      <c r="E33" s="253"/>
      <c r="F33" s="253"/>
    </row>
    <row r="34" spans="2:6" ht="15" customHeight="1" x14ac:dyDescent="0.25">
      <c r="B34" s="3">
        <v>1</v>
      </c>
      <c r="C34" s="4">
        <v>2429512302</v>
      </c>
      <c r="D34" s="253" t="s">
        <v>84</v>
      </c>
      <c r="E34" s="253"/>
      <c r="F34" s="253"/>
    </row>
    <row r="35" spans="2:6" ht="15" customHeight="1" x14ac:dyDescent="0.25">
      <c r="B35" s="3">
        <v>1</v>
      </c>
      <c r="C35" s="4">
        <v>2429612301</v>
      </c>
      <c r="D35" s="253" t="s">
        <v>85</v>
      </c>
      <c r="E35" s="253"/>
      <c r="F35" s="253"/>
    </row>
    <row r="36" spans="2:6" ht="15" customHeight="1" x14ac:dyDescent="0.25">
      <c r="B36" s="3">
        <v>1</v>
      </c>
      <c r="C36" s="4">
        <v>2429712301</v>
      </c>
      <c r="D36" s="253" t="s">
        <v>86</v>
      </c>
      <c r="E36" s="253"/>
      <c r="F36" s="253"/>
    </row>
    <row r="37" spans="2:6" ht="15" customHeight="1" x14ac:dyDescent="0.25">
      <c r="B37" s="3">
        <v>1</v>
      </c>
      <c r="C37" s="4">
        <v>2429812301</v>
      </c>
      <c r="D37" s="253" t="s">
        <v>87</v>
      </c>
      <c r="E37" s="253"/>
      <c r="F37" s="253"/>
    </row>
    <row r="38" spans="2:6" ht="15" customHeight="1" x14ac:dyDescent="0.25">
      <c r="B38" s="3">
        <v>1</v>
      </c>
      <c r="C38" s="4">
        <v>2429912301</v>
      </c>
      <c r="D38" s="253" t="s">
        <v>88</v>
      </c>
      <c r="E38" s="253"/>
      <c r="F38" s="253"/>
    </row>
    <row r="39" spans="2:6" ht="15" customHeight="1" x14ac:dyDescent="0.25">
      <c r="B39" s="3">
        <v>1</v>
      </c>
      <c r="C39" s="4">
        <v>2429912302</v>
      </c>
      <c r="D39" s="253" t="s">
        <v>89</v>
      </c>
      <c r="E39" s="253"/>
      <c r="F39" s="253"/>
    </row>
    <row r="40" spans="2:6" ht="15" customHeight="1" x14ac:dyDescent="0.25">
      <c r="B40" s="3">
        <v>1</v>
      </c>
      <c r="C40" s="4">
        <v>2430012301</v>
      </c>
      <c r="D40" s="253" t="s">
        <v>90</v>
      </c>
      <c r="E40" s="253"/>
      <c r="F40" s="253"/>
    </row>
    <row r="41" spans="2:6" ht="15" customHeight="1" x14ac:dyDescent="0.25">
      <c r="B41" s="3">
        <v>1</v>
      </c>
      <c r="C41" s="4">
        <v>2430112301</v>
      </c>
      <c r="D41" s="253" t="s">
        <v>91</v>
      </c>
      <c r="E41" s="253"/>
      <c r="F41" s="253"/>
    </row>
    <row r="42" spans="2:6" ht="15" customHeight="1" x14ac:dyDescent="0.25">
      <c r="B42" s="3">
        <v>1</v>
      </c>
      <c r="C42" s="4">
        <v>2430212301</v>
      </c>
      <c r="D42" s="253" t="s">
        <v>92</v>
      </c>
      <c r="E42" s="253"/>
      <c r="F42" s="253"/>
    </row>
    <row r="43" spans="2:6" ht="15" customHeight="1" x14ac:dyDescent="0.25">
      <c r="B43" s="3">
        <v>1</v>
      </c>
      <c r="C43" s="4">
        <v>2430312301</v>
      </c>
      <c r="D43" s="253" t="s">
        <v>93</v>
      </c>
      <c r="E43" s="253"/>
      <c r="F43" s="253"/>
    </row>
    <row r="44" spans="2:6" ht="15" customHeight="1" x14ac:dyDescent="0.25">
      <c r="B44" s="3">
        <v>1</v>
      </c>
      <c r="C44" s="4">
        <v>2430412301</v>
      </c>
      <c r="D44" s="253" t="s">
        <v>94</v>
      </c>
      <c r="E44" s="253"/>
      <c r="F44" s="253"/>
    </row>
    <row r="45" spans="2:6" ht="15" customHeight="1" x14ac:dyDescent="0.25">
      <c r="B45" s="3">
        <v>1</v>
      </c>
      <c r="C45" s="4">
        <v>2430612301</v>
      </c>
      <c r="D45" s="253" t="s">
        <v>95</v>
      </c>
      <c r="E45" s="253"/>
      <c r="F45" s="253"/>
    </row>
    <row r="46" spans="2:6" ht="15" customHeight="1" x14ac:dyDescent="0.25">
      <c r="B46" s="3">
        <v>1</v>
      </c>
      <c r="C46" s="4">
        <v>2430712301</v>
      </c>
      <c r="D46" s="253" t="s">
        <v>96</v>
      </c>
      <c r="E46" s="253"/>
      <c r="F46" s="253"/>
    </row>
    <row r="47" spans="2:6" ht="15" customHeight="1" x14ac:dyDescent="0.25">
      <c r="B47" s="3">
        <v>1</v>
      </c>
      <c r="C47" s="4">
        <v>2430812301</v>
      </c>
      <c r="D47" s="253" t="s">
        <v>97</v>
      </c>
      <c r="E47" s="253"/>
      <c r="F47" s="253"/>
    </row>
    <row r="48" spans="2:6" ht="15" customHeight="1" x14ac:dyDescent="0.25">
      <c r="B48" s="3">
        <v>1</v>
      </c>
      <c r="C48" s="4">
        <v>2431012301</v>
      </c>
      <c r="D48" s="253" t="s">
        <v>98</v>
      </c>
      <c r="E48" s="253"/>
      <c r="F48" s="253"/>
    </row>
    <row r="49" spans="2:6" ht="15" customHeight="1" x14ac:dyDescent="0.25">
      <c r="B49" s="3">
        <v>1</v>
      </c>
      <c r="C49" s="4">
        <v>2431312301</v>
      </c>
      <c r="D49" s="253" t="s">
        <v>99</v>
      </c>
      <c r="E49" s="253"/>
      <c r="F49" s="253"/>
    </row>
    <row r="50" spans="2:6" ht="15" customHeight="1" x14ac:dyDescent="0.25">
      <c r="B50" s="3">
        <v>1</v>
      </c>
      <c r="C50" s="4">
        <v>2431412301</v>
      </c>
      <c r="D50" s="253" t="s">
        <v>100</v>
      </c>
      <c r="E50" s="253"/>
      <c r="F50" s="253"/>
    </row>
    <row r="51" spans="2:6" ht="15" customHeight="1" x14ac:dyDescent="0.25">
      <c r="B51" s="3">
        <v>1</v>
      </c>
      <c r="C51" s="4">
        <v>2431212301</v>
      </c>
      <c r="D51" s="253" t="s">
        <v>101</v>
      </c>
      <c r="E51" s="253"/>
      <c r="F51" s="253"/>
    </row>
    <row r="52" spans="2:6" ht="15" customHeight="1" x14ac:dyDescent="0.25">
      <c r="B52" s="3">
        <v>1</v>
      </c>
      <c r="C52" s="4">
        <v>2431512301</v>
      </c>
      <c r="D52" s="253" t="s">
        <v>102</v>
      </c>
      <c r="E52" s="253"/>
      <c r="F52" s="253"/>
    </row>
    <row r="53" spans="2:6" ht="15" customHeight="1" x14ac:dyDescent="0.25">
      <c r="B53" s="3">
        <v>1</v>
      </c>
      <c r="C53" s="4">
        <v>2431812301</v>
      </c>
      <c r="D53" s="253" t="s">
        <v>103</v>
      </c>
      <c r="E53" s="253"/>
      <c r="F53" s="253"/>
    </row>
    <row r="54" spans="2:6" ht="15" customHeight="1" x14ac:dyDescent="0.25">
      <c r="B54" s="3">
        <v>1</v>
      </c>
      <c r="C54" s="4">
        <v>2431812302</v>
      </c>
      <c r="D54" s="253" t="s">
        <v>104</v>
      </c>
      <c r="E54" s="253"/>
      <c r="F54" s="253"/>
    </row>
    <row r="55" spans="2:6" ht="15" customHeight="1" x14ac:dyDescent="0.25">
      <c r="B55" s="3">
        <v>1</v>
      </c>
      <c r="C55" s="4">
        <v>2431912301</v>
      </c>
      <c r="D55" s="253" t="s">
        <v>105</v>
      </c>
      <c r="E55" s="253"/>
      <c r="F55" s="253"/>
    </row>
    <row r="56" spans="2:6" ht="15" customHeight="1" x14ac:dyDescent="0.25">
      <c r="B56" s="3">
        <v>1</v>
      </c>
      <c r="C56" s="4">
        <v>2431912302</v>
      </c>
      <c r="D56" s="253" t="s">
        <v>106</v>
      </c>
      <c r="E56" s="253"/>
      <c r="F56" s="253"/>
    </row>
    <row r="57" spans="2:6" ht="15" customHeight="1" x14ac:dyDescent="0.25">
      <c r="B57" s="3">
        <v>1</v>
      </c>
      <c r="C57" s="4">
        <v>2432012301</v>
      </c>
      <c r="D57" s="253" t="s">
        <v>107</v>
      </c>
      <c r="E57" s="253"/>
      <c r="F57" s="253"/>
    </row>
    <row r="58" spans="2:6" ht="15" customHeight="1" x14ac:dyDescent="0.25">
      <c r="B58" s="3">
        <v>1</v>
      </c>
      <c r="C58" s="4">
        <v>2432112301</v>
      </c>
      <c r="D58" s="253" t="s">
        <v>108</v>
      </c>
      <c r="E58" s="253"/>
      <c r="F58" s="253"/>
    </row>
    <row r="59" spans="2:6" ht="15" customHeight="1" x14ac:dyDescent="0.25">
      <c r="B59" s="3">
        <v>1</v>
      </c>
      <c r="C59" s="4">
        <v>2432112302</v>
      </c>
      <c r="D59" s="253" t="s">
        <v>109</v>
      </c>
      <c r="E59" s="253"/>
      <c r="F59" s="253"/>
    </row>
    <row r="60" spans="2:6" ht="15" customHeight="1" x14ac:dyDescent="0.25">
      <c r="B60" s="3">
        <v>1</v>
      </c>
      <c r="C60" s="4">
        <v>2432212301</v>
      </c>
      <c r="D60" s="253" t="s">
        <v>110</v>
      </c>
      <c r="E60" s="253"/>
      <c r="F60" s="253"/>
    </row>
    <row r="61" spans="2:6" ht="15" customHeight="1" x14ac:dyDescent="0.25">
      <c r="B61" s="3">
        <v>1</v>
      </c>
      <c r="C61" s="4">
        <v>2432212302</v>
      </c>
      <c r="D61" s="253" t="s">
        <v>111</v>
      </c>
      <c r="E61" s="253"/>
      <c r="F61" s="253"/>
    </row>
    <row r="62" spans="2:6" ht="15" customHeight="1" x14ac:dyDescent="0.25">
      <c r="B62" s="3">
        <v>1</v>
      </c>
      <c r="C62" s="4">
        <v>2432312301</v>
      </c>
      <c r="D62" s="253" t="s">
        <v>112</v>
      </c>
      <c r="E62" s="253"/>
      <c r="F62" s="253"/>
    </row>
    <row r="63" spans="2:6" x14ac:dyDescent="0.25">
      <c r="B63" s="3">
        <v>1</v>
      </c>
      <c r="C63" s="4">
        <v>2432412301</v>
      </c>
      <c r="D63" s="253"/>
      <c r="E63" s="253"/>
      <c r="F63" s="253"/>
    </row>
    <row r="64" spans="2:6" ht="15" customHeight="1" x14ac:dyDescent="0.25">
      <c r="B64" s="3">
        <v>1</v>
      </c>
      <c r="C64" s="4">
        <v>2432512301</v>
      </c>
      <c r="D64" s="253" t="s">
        <v>113</v>
      </c>
      <c r="E64" s="253"/>
      <c r="F64" s="253"/>
    </row>
    <row r="65" spans="2:6" ht="15" customHeight="1" x14ac:dyDescent="0.25">
      <c r="B65" s="3">
        <v>1</v>
      </c>
      <c r="C65" s="4">
        <v>2432512302</v>
      </c>
      <c r="D65" s="253" t="s">
        <v>114</v>
      </c>
      <c r="E65" s="253"/>
      <c r="F65" s="253"/>
    </row>
    <row r="66" spans="2:6" x14ac:dyDescent="0.25">
      <c r="B66" s="3">
        <v>1</v>
      </c>
      <c r="C66" s="4">
        <v>2432612301</v>
      </c>
      <c r="D66" s="253"/>
      <c r="E66" s="253"/>
      <c r="F66" s="253"/>
    </row>
    <row r="67" spans="2:6" ht="15" customHeight="1" x14ac:dyDescent="0.25">
      <c r="B67" s="3">
        <v>1</v>
      </c>
      <c r="C67" s="4">
        <v>2432612302</v>
      </c>
      <c r="D67" s="253" t="s">
        <v>115</v>
      </c>
      <c r="E67" s="253"/>
      <c r="F67" s="253"/>
    </row>
    <row r="68" spans="2:6" ht="15" customHeight="1" x14ac:dyDescent="0.25">
      <c r="B68" s="3">
        <v>1</v>
      </c>
      <c r="C68" s="4">
        <v>2432712301</v>
      </c>
      <c r="D68" s="253" t="s">
        <v>116</v>
      </c>
      <c r="E68" s="253"/>
      <c r="F68" s="253"/>
    </row>
    <row r="69" spans="2:6" ht="15" customHeight="1" x14ac:dyDescent="0.25">
      <c r="B69" s="3">
        <v>1</v>
      </c>
      <c r="C69" s="4">
        <v>2432812301</v>
      </c>
      <c r="D69" s="253" t="s">
        <v>117</v>
      </c>
      <c r="E69" s="253"/>
      <c r="F69" s="253"/>
    </row>
    <row r="70" spans="2:6" ht="15" customHeight="1" x14ac:dyDescent="0.25">
      <c r="B70" s="3">
        <v>1</v>
      </c>
      <c r="C70" s="4">
        <v>2432912301</v>
      </c>
      <c r="D70" s="253" t="s">
        <v>118</v>
      </c>
      <c r="E70" s="253"/>
      <c r="F70" s="253"/>
    </row>
    <row r="71" spans="2:6" x14ac:dyDescent="0.25">
      <c r="B71" s="3">
        <v>1</v>
      </c>
      <c r="C71" s="4">
        <v>2432912302</v>
      </c>
      <c r="D71" s="253"/>
      <c r="E71" s="253"/>
      <c r="F71" s="253"/>
    </row>
    <row r="72" spans="2:6" x14ac:dyDescent="0.25">
      <c r="B72" s="3">
        <v>1</v>
      </c>
      <c r="C72" s="4">
        <v>2433012301</v>
      </c>
      <c r="D72" s="253"/>
      <c r="E72" s="253"/>
      <c r="F72" s="253"/>
    </row>
    <row r="73" spans="2:6" ht="15" customHeight="1" x14ac:dyDescent="0.25">
      <c r="B73" s="3">
        <v>1</v>
      </c>
      <c r="C73" s="4">
        <v>2433012302</v>
      </c>
      <c r="D73" s="253" t="s">
        <v>91</v>
      </c>
      <c r="E73" s="253"/>
      <c r="F73" s="253"/>
    </row>
    <row r="74" spans="2:6" ht="15" customHeight="1" x14ac:dyDescent="0.25">
      <c r="B74" s="3">
        <v>1</v>
      </c>
      <c r="C74" s="4">
        <v>2432412301</v>
      </c>
      <c r="D74" s="253" t="s">
        <v>92</v>
      </c>
      <c r="E74" s="253"/>
      <c r="F74" s="253"/>
    </row>
    <row r="75" spans="2:6" ht="15" customHeight="1" x14ac:dyDescent="0.25">
      <c r="B75" s="3">
        <v>1</v>
      </c>
      <c r="C75" s="4">
        <v>2433112301</v>
      </c>
      <c r="D75" s="253" t="s">
        <v>93</v>
      </c>
      <c r="E75" s="253"/>
      <c r="F75" s="253"/>
    </row>
    <row r="76" spans="2:6" ht="15" customHeight="1" x14ac:dyDescent="0.25">
      <c r="B76" s="3">
        <v>1</v>
      </c>
      <c r="C76" s="4">
        <v>2433312301</v>
      </c>
      <c r="D76" s="253" t="s">
        <v>94</v>
      </c>
      <c r="E76" s="253"/>
      <c r="F76" s="253"/>
    </row>
    <row r="77" spans="2:6" ht="15" customHeight="1" x14ac:dyDescent="0.25">
      <c r="B77" s="3">
        <v>1</v>
      </c>
      <c r="C77" s="4">
        <v>2433412301</v>
      </c>
      <c r="D77" s="253" t="s">
        <v>95</v>
      </c>
      <c r="E77" s="253"/>
      <c r="F77" s="253"/>
    </row>
    <row r="78" spans="2:6" x14ac:dyDescent="0.25">
      <c r="B78" s="3">
        <v>1</v>
      </c>
      <c r="C78" s="4">
        <v>2433512301</v>
      </c>
      <c r="D78" s="253"/>
      <c r="E78" s="253"/>
      <c r="F78" s="253"/>
    </row>
    <row r="79" spans="2:6" x14ac:dyDescent="0.25">
      <c r="B79" s="3">
        <v>1</v>
      </c>
      <c r="C79" s="4">
        <v>2433812301</v>
      </c>
      <c r="D79" s="253"/>
      <c r="E79" s="253"/>
      <c r="F79" s="253"/>
    </row>
    <row r="80" spans="2:6" x14ac:dyDescent="0.25">
      <c r="B80" s="3">
        <v>1</v>
      </c>
      <c r="C80" s="12">
        <v>2433912301</v>
      </c>
      <c r="D80" s="253"/>
      <c r="E80" s="253"/>
      <c r="F80" s="253"/>
    </row>
    <row r="81" spans="2:6" x14ac:dyDescent="0.25">
      <c r="B81" s="3">
        <v>1</v>
      </c>
      <c r="C81" s="12">
        <v>2434012301</v>
      </c>
      <c r="D81" s="253"/>
      <c r="E81" s="253"/>
      <c r="F81" s="253"/>
    </row>
    <row r="82" spans="2:6" ht="15" customHeight="1" x14ac:dyDescent="0.25">
      <c r="B82" s="3">
        <v>1</v>
      </c>
      <c r="C82" s="12">
        <v>2434112301</v>
      </c>
      <c r="D82" s="253" t="s">
        <v>71</v>
      </c>
      <c r="E82" s="253"/>
      <c r="F82" s="253"/>
    </row>
    <row r="83" spans="2:6" ht="15" customHeight="1" x14ac:dyDescent="0.25">
      <c r="B83" s="3">
        <v>1</v>
      </c>
      <c r="C83" s="12">
        <v>2434112302</v>
      </c>
      <c r="D83" s="253" t="s">
        <v>73</v>
      </c>
      <c r="E83" s="253"/>
      <c r="F83" s="253"/>
    </row>
    <row r="84" spans="2:6" ht="15" customHeight="1" x14ac:dyDescent="0.25">
      <c r="B84" s="3">
        <v>1</v>
      </c>
      <c r="C84" s="12">
        <v>2434212301</v>
      </c>
      <c r="D84" s="253" t="s">
        <v>74</v>
      </c>
      <c r="E84" s="253"/>
      <c r="F84" s="253"/>
    </row>
    <row r="85" spans="2:6" ht="15" customHeight="1" x14ac:dyDescent="0.25">
      <c r="B85" s="3">
        <v>1</v>
      </c>
      <c r="C85" s="12">
        <v>2434312301</v>
      </c>
      <c r="D85" s="253" t="s">
        <v>119</v>
      </c>
      <c r="E85" s="253"/>
      <c r="F85" s="253"/>
    </row>
    <row r="86" spans="2:6" ht="15" customHeight="1" x14ac:dyDescent="0.25">
      <c r="B86" s="3">
        <v>1</v>
      </c>
      <c r="C86" s="12">
        <v>2434512301</v>
      </c>
      <c r="D86" s="253" t="s">
        <v>120</v>
      </c>
      <c r="E86" s="253"/>
      <c r="F86" s="253"/>
    </row>
    <row r="87" spans="2:6" ht="15" customHeight="1" x14ac:dyDescent="0.25">
      <c r="B87" s="3">
        <v>1</v>
      </c>
      <c r="C87" s="12">
        <v>2434812301</v>
      </c>
      <c r="D87" s="253" t="s">
        <v>121</v>
      </c>
      <c r="E87" s="253"/>
      <c r="F87" s="253"/>
    </row>
    <row r="88" spans="2:6" ht="15" customHeight="1" x14ac:dyDescent="0.25">
      <c r="B88" s="3">
        <v>1</v>
      </c>
      <c r="C88" s="12">
        <v>2434812302</v>
      </c>
      <c r="D88" s="253" t="s">
        <v>122</v>
      </c>
      <c r="E88" s="253"/>
      <c r="F88" s="253"/>
    </row>
    <row r="89" spans="2:6" ht="15" customHeight="1" x14ac:dyDescent="0.25">
      <c r="B89" s="3">
        <v>1</v>
      </c>
      <c r="C89" s="12">
        <v>2434912301</v>
      </c>
      <c r="D89" s="253" t="s">
        <v>123</v>
      </c>
      <c r="E89" s="253"/>
      <c r="F89" s="253"/>
    </row>
    <row r="90" spans="2:6" ht="15" customHeight="1" x14ac:dyDescent="0.25">
      <c r="B90" s="3">
        <v>1</v>
      </c>
      <c r="C90" s="12">
        <v>2435112301</v>
      </c>
      <c r="D90" s="253" t="s">
        <v>91</v>
      </c>
      <c r="E90" s="253"/>
      <c r="F90" s="253"/>
    </row>
    <row r="91" spans="2:6" ht="15" customHeight="1" x14ac:dyDescent="0.25">
      <c r="B91" s="3">
        <v>1</v>
      </c>
      <c r="C91" s="12">
        <v>2435312301</v>
      </c>
      <c r="D91" s="253" t="s">
        <v>92</v>
      </c>
      <c r="E91" s="253"/>
      <c r="F91" s="253"/>
    </row>
    <row r="92" spans="2:6" ht="15" customHeight="1" x14ac:dyDescent="0.25">
      <c r="B92" s="3">
        <v>1</v>
      </c>
      <c r="C92" s="12">
        <v>2435412301</v>
      </c>
      <c r="D92" s="253" t="s">
        <v>93</v>
      </c>
      <c r="E92" s="253"/>
      <c r="F92" s="253"/>
    </row>
    <row r="93" spans="2:6" ht="15" customHeight="1" x14ac:dyDescent="0.25">
      <c r="B93" s="3">
        <v>1</v>
      </c>
      <c r="C93" s="12">
        <v>2435712301</v>
      </c>
      <c r="D93" s="253" t="s">
        <v>94</v>
      </c>
      <c r="E93" s="253"/>
      <c r="F93" s="253"/>
    </row>
    <row r="94" spans="2:6" ht="15" customHeight="1" x14ac:dyDescent="0.25">
      <c r="B94" s="3">
        <v>1</v>
      </c>
      <c r="C94" s="12">
        <v>2435712302</v>
      </c>
      <c r="D94" s="253" t="s">
        <v>95</v>
      </c>
      <c r="E94" s="253"/>
      <c r="F94" s="253"/>
    </row>
    <row r="95" spans="2:6" ht="15" customHeight="1" x14ac:dyDescent="0.25">
      <c r="B95" s="3">
        <v>1</v>
      </c>
      <c r="C95" s="12">
        <v>2435812301</v>
      </c>
      <c r="D95" s="253" t="s">
        <v>96</v>
      </c>
      <c r="E95" s="253"/>
      <c r="F95" s="253"/>
    </row>
    <row r="96" spans="2:6" ht="15" customHeight="1" x14ac:dyDescent="0.25">
      <c r="B96" s="3">
        <v>1</v>
      </c>
      <c r="C96" s="12">
        <v>2435912301</v>
      </c>
      <c r="D96" s="253" t="s">
        <v>97</v>
      </c>
      <c r="E96" s="253"/>
      <c r="F96" s="253"/>
    </row>
    <row r="97" spans="2:6" ht="15" customHeight="1" x14ac:dyDescent="0.25">
      <c r="B97" s="3">
        <v>1</v>
      </c>
      <c r="C97" s="12">
        <v>2436012301</v>
      </c>
      <c r="D97" s="253" t="s">
        <v>98</v>
      </c>
      <c r="E97" s="253"/>
      <c r="F97" s="253"/>
    </row>
    <row r="98" spans="2:6" ht="15" customHeight="1" x14ac:dyDescent="0.25">
      <c r="B98" s="3">
        <v>1</v>
      </c>
      <c r="C98" s="12">
        <v>2436012302</v>
      </c>
      <c r="D98" s="253" t="s">
        <v>71</v>
      </c>
      <c r="E98" s="253"/>
      <c r="F98" s="253"/>
    </row>
    <row r="99" spans="2:6" ht="15" customHeight="1" x14ac:dyDescent="0.25">
      <c r="B99" s="3">
        <v>1</v>
      </c>
      <c r="C99" s="12">
        <v>2436112301</v>
      </c>
      <c r="D99" s="253" t="s">
        <v>73</v>
      </c>
      <c r="E99" s="253"/>
      <c r="F99" s="253"/>
    </row>
    <row r="100" spans="2:6" ht="15" customHeight="1" x14ac:dyDescent="0.25">
      <c r="B100" s="3">
        <v>1</v>
      </c>
      <c r="C100" s="12">
        <v>2436212301</v>
      </c>
      <c r="D100" s="253" t="s">
        <v>74</v>
      </c>
      <c r="E100" s="253"/>
      <c r="F100" s="253"/>
    </row>
    <row r="101" spans="2:6" ht="15" customHeight="1" x14ac:dyDescent="0.25">
      <c r="B101" s="3">
        <v>1</v>
      </c>
      <c r="C101" s="12">
        <v>2436312301</v>
      </c>
      <c r="D101" s="253" t="s">
        <v>79</v>
      </c>
      <c r="E101" s="253"/>
      <c r="F101" s="253"/>
    </row>
    <row r="102" spans="2:6" ht="15" customHeight="1" x14ac:dyDescent="0.25">
      <c r="B102" s="3">
        <v>1</v>
      </c>
      <c r="C102" s="12">
        <v>2436412301</v>
      </c>
      <c r="D102" s="253" t="s">
        <v>80</v>
      </c>
      <c r="E102" s="253"/>
      <c r="F102" s="253"/>
    </row>
    <row r="103" spans="2:6" ht="15" customHeight="1" x14ac:dyDescent="0.25">
      <c r="B103" s="3">
        <v>1</v>
      </c>
      <c r="C103" s="12">
        <v>2436412302</v>
      </c>
      <c r="D103" s="253" t="s">
        <v>81</v>
      </c>
      <c r="E103" s="253"/>
      <c r="F103" s="253"/>
    </row>
    <row r="104" spans="2:6" ht="15" customHeight="1" x14ac:dyDescent="0.25">
      <c r="B104" s="3">
        <v>1</v>
      </c>
      <c r="C104" s="12">
        <v>2436512301</v>
      </c>
      <c r="D104" s="253" t="s">
        <v>82</v>
      </c>
      <c r="E104" s="253"/>
      <c r="F104" s="253"/>
    </row>
    <row r="105" spans="2:6" ht="15" customHeight="1" x14ac:dyDescent="0.25">
      <c r="B105" s="3">
        <v>1</v>
      </c>
      <c r="C105" s="12">
        <v>2436612301</v>
      </c>
      <c r="D105" s="253" t="s">
        <v>115</v>
      </c>
      <c r="E105" s="253"/>
      <c r="F105" s="253"/>
    </row>
    <row r="106" spans="2:6" ht="15" customHeight="1" x14ac:dyDescent="0.25">
      <c r="B106" s="3">
        <v>1</v>
      </c>
      <c r="C106" s="12">
        <v>2500312301</v>
      </c>
      <c r="D106" s="253" t="s">
        <v>116</v>
      </c>
      <c r="E106" s="253"/>
      <c r="F106" s="253"/>
    </row>
    <row r="107" spans="2:6" ht="15" customHeight="1" x14ac:dyDescent="0.25">
      <c r="B107" s="3">
        <v>1</v>
      </c>
      <c r="C107" s="12">
        <v>2500412301</v>
      </c>
      <c r="D107" s="253" t="s">
        <v>117</v>
      </c>
      <c r="E107" s="253"/>
      <c r="F107" s="253"/>
    </row>
    <row r="108" spans="2:6" ht="15" customHeight="1" x14ac:dyDescent="0.25">
      <c r="B108" s="3">
        <v>1</v>
      </c>
      <c r="C108" s="12">
        <v>2500512301</v>
      </c>
      <c r="D108" s="253" t="s">
        <v>118</v>
      </c>
      <c r="E108" s="253"/>
      <c r="F108" s="253"/>
    </row>
    <row r="109" spans="2:6" ht="15" customHeight="1" x14ac:dyDescent="0.25">
      <c r="B109" s="3">
        <v>1</v>
      </c>
      <c r="C109" s="12">
        <v>2500512302</v>
      </c>
      <c r="D109" s="253" t="s">
        <v>110</v>
      </c>
      <c r="E109" s="253"/>
      <c r="F109" s="253"/>
    </row>
    <row r="110" spans="2:6" ht="15" customHeight="1" x14ac:dyDescent="0.25">
      <c r="B110" s="3">
        <v>1</v>
      </c>
      <c r="C110" s="12">
        <v>2500812301</v>
      </c>
      <c r="D110" s="253" t="s">
        <v>111</v>
      </c>
      <c r="E110" s="253"/>
      <c r="F110" s="253"/>
    </row>
    <row r="111" spans="2:6" ht="15" customHeight="1" x14ac:dyDescent="0.25">
      <c r="B111" s="3">
        <v>1</v>
      </c>
      <c r="C111" s="12">
        <v>2500912301</v>
      </c>
      <c r="D111" s="253" t="s">
        <v>112</v>
      </c>
      <c r="E111" s="253"/>
      <c r="F111" s="253"/>
    </row>
    <row r="112" spans="2:6" ht="15" customHeight="1" x14ac:dyDescent="0.25">
      <c r="B112" s="3">
        <v>1</v>
      </c>
      <c r="C112" s="12">
        <v>2500912302</v>
      </c>
      <c r="D112" s="253" t="s">
        <v>116</v>
      </c>
      <c r="E112" s="253"/>
      <c r="F112" s="253"/>
    </row>
    <row r="113" spans="2:6" ht="15" customHeight="1" x14ac:dyDescent="0.25">
      <c r="B113" s="3">
        <v>1</v>
      </c>
      <c r="C113" s="12">
        <v>2501012301</v>
      </c>
      <c r="D113" s="253" t="s">
        <v>117</v>
      </c>
      <c r="E113" s="253"/>
      <c r="F113" s="253"/>
    </row>
    <row r="114" spans="2:6" ht="15" customHeight="1" x14ac:dyDescent="0.25">
      <c r="B114" s="3">
        <v>1</v>
      </c>
      <c r="C114" s="12">
        <v>2501112301</v>
      </c>
      <c r="D114" s="253" t="s">
        <v>118</v>
      </c>
      <c r="E114" s="253"/>
      <c r="F114" s="253"/>
    </row>
    <row r="115" spans="2:6" ht="15" customHeight="1" x14ac:dyDescent="0.25">
      <c r="B115" s="3">
        <v>1</v>
      </c>
      <c r="C115" s="12">
        <v>2501412301</v>
      </c>
      <c r="D115" s="253" t="s">
        <v>100</v>
      </c>
      <c r="E115" s="253"/>
      <c r="F115" s="253"/>
    </row>
    <row r="116" spans="2:6" ht="15" customHeight="1" x14ac:dyDescent="0.25">
      <c r="B116" s="3">
        <v>1</v>
      </c>
      <c r="C116" s="12">
        <v>2501412302</v>
      </c>
      <c r="D116" s="253" t="s">
        <v>101</v>
      </c>
      <c r="E116" s="253"/>
      <c r="F116" s="253"/>
    </row>
    <row r="117" spans="2:6" ht="15" customHeight="1" x14ac:dyDescent="0.25">
      <c r="B117" s="3">
        <v>1</v>
      </c>
      <c r="C117" s="12">
        <v>2501512301</v>
      </c>
      <c r="D117" s="253" t="s">
        <v>90</v>
      </c>
      <c r="E117" s="253"/>
      <c r="F117" s="253"/>
    </row>
    <row r="118" spans="2:6" ht="15" customHeight="1" x14ac:dyDescent="0.25">
      <c r="B118" s="3">
        <v>1</v>
      </c>
      <c r="C118" s="12">
        <v>2501812301</v>
      </c>
      <c r="D118" s="253" t="s">
        <v>91</v>
      </c>
      <c r="E118" s="253"/>
      <c r="F118" s="253"/>
    </row>
    <row r="119" spans="2:6" ht="15" customHeight="1" x14ac:dyDescent="0.25">
      <c r="B119" s="3">
        <v>1</v>
      </c>
      <c r="C119" s="12">
        <v>2501912301</v>
      </c>
      <c r="D119" s="253" t="s">
        <v>92</v>
      </c>
      <c r="E119" s="253"/>
      <c r="F119" s="253"/>
    </row>
    <row r="120" spans="2:6" ht="15" customHeight="1" x14ac:dyDescent="0.25">
      <c r="B120" s="3">
        <v>1</v>
      </c>
      <c r="C120" s="12">
        <v>2501912302</v>
      </c>
      <c r="D120" s="253" t="s">
        <v>93</v>
      </c>
      <c r="E120" s="253"/>
      <c r="F120" s="253"/>
    </row>
    <row r="121" spans="2:6" ht="15" customHeight="1" x14ac:dyDescent="0.25">
      <c r="B121" s="3">
        <v>1</v>
      </c>
      <c r="C121" s="12">
        <v>2502112301</v>
      </c>
      <c r="D121" s="253" t="s">
        <v>94</v>
      </c>
      <c r="E121" s="253"/>
      <c r="F121" s="253"/>
    </row>
    <row r="122" spans="2:6" ht="15" customHeight="1" x14ac:dyDescent="0.25">
      <c r="B122" s="3">
        <v>1</v>
      </c>
      <c r="C122" s="12">
        <v>2506512301</v>
      </c>
      <c r="D122" s="253" t="s">
        <v>95</v>
      </c>
      <c r="E122" s="253"/>
      <c r="F122" s="253"/>
    </row>
    <row r="123" spans="2:6" ht="15" customHeight="1" x14ac:dyDescent="0.25">
      <c r="B123" s="3">
        <v>1</v>
      </c>
      <c r="C123" s="12">
        <v>2506712301</v>
      </c>
      <c r="D123" s="253" t="s">
        <v>96</v>
      </c>
      <c r="E123" s="253"/>
      <c r="F123" s="253"/>
    </row>
    <row r="124" spans="2:6" ht="15" customHeight="1" x14ac:dyDescent="0.25">
      <c r="B124" s="3">
        <v>1</v>
      </c>
      <c r="C124" s="12">
        <v>2506812301</v>
      </c>
      <c r="D124" s="253" t="s">
        <v>71</v>
      </c>
      <c r="E124" s="253"/>
      <c r="F124" s="253"/>
    </row>
    <row r="125" spans="2:6" ht="15" customHeight="1" x14ac:dyDescent="0.25">
      <c r="B125" s="3">
        <v>1</v>
      </c>
      <c r="C125" s="12">
        <v>2507012301</v>
      </c>
      <c r="D125" s="253" t="s">
        <v>73</v>
      </c>
      <c r="E125" s="253"/>
      <c r="F125" s="253"/>
    </row>
    <row r="126" spans="2:6" ht="15" customHeight="1" x14ac:dyDescent="0.25">
      <c r="B126" s="3">
        <v>1</v>
      </c>
      <c r="C126" s="12">
        <v>2507212301</v>
      </c>
      <c r="D126" s="253" t="s">
        <v>74</v>
      </c>
      <c r="E126" s="253"/>
      <c r="F126" s="253"/>
    </row>
    <row r="127" spans="2:6" ht="15" customHeight="1" x14ac:dyDescent="0.25">
      <c r="B127" s="3">
        <v>1</v>
      </c>
      <c r="C127" s="12">
        <v>2507412301</v>
      </c>
      <c r="D127" s="253" t="s">
        <v>109</v>
      </c>
      <c r="E127" s="253"/>
      <c r="F127" s="253"/>
    </row>
    <row r="128" spans="2:6" ht="15" customHeight="1" x14ac:dyDescent="0.25">
      <c r="B128" s="3">
        <v>1</v>
      </c>
      <c r="C128" s="12">
        <v>2507512301</v>
      </c>
      <c r="D128" s="253" t="s">
        <v>110</v>
      </c>
      <c r="E128" s="253"/>
      <c r="F128" s="253"/>
    </row>
    <row r="129" spans="2:6" ht="15" customHeight="1" x14ac:dyDescent="0.25">
      <c r="B129" s="3">
        <v>1</v>
      </c>
      <c r="C129" s="12">
        <v>2507612301</v>
      </c>
      <c r="D129" s="253" t="s">
        <v>111</v>
      </c>
      <c r="E129" s="253"/>
      <c r="F129" s="253"/>
    </row>
    <row r="130" spans="2:6" ht="15" customHeight="1" x14ac:dyDescent="0.25">
      <c r="B130" s="3">
        <v>1</v>
      </c>
      <c r="C130" s="12">
        <v>2507712301</v>
      </c>
      <c r="D130" s="253" t="s">
        <v>112</v>
      </c>
      <c r="E130" s="253"/>
      <c r="F130" s="253"/>
    </row>
    <row r="131" spans="2:6" x14ac:dyDescent="0.25">
      <c r="B131" s="3">
        <v>1</v>
      </c>
      <c r="C131" s="12">
        <v>2507812301</v>
      </c>
      <c r="D131" s="253"/>
      <c r="E131" s="253"/>
      <c r="F131" s="253"/>
    </row>
    <row r="132" spans="2:6" ht="15" customHeight="1" x14ac:dyDescent="0.25">
      <c r="B132" s="3">
        <v>1</v>
      </c>
      <c r="C132" s="12">
        <v>2508012301</v>
      </c>
      <c r="D132" s="253" t="s">
        <v>113</v>
      </c>
      <c r="E132" s="253"/>
      <c r="F132" s="253"/>
    </row>
    <row r="133" spans="2:6" ht="15" customHeight="1" x14ac:dyDescent="0.25">
      <c r="B133" s="3">
        <v>1</v>
      </c>
      <c r="C133" s="12">
        <v>2508312301</v>
      </c>
      <c r="D133" s="253" t="s">
        <v>114</v>
      </c>
      <c r="E133" s="253"/>
      <c r="F133" s="253"/>
    </row>
    <row r="134" spans="2:6" x14ac:dyDescent="0.25">
      <c r="B134" s="3">
        <v>1</v>
      </c>
      <c r="C134" s="12">
        <v>2508412301</v>
      </c>
      <c r="D134" s="253"/>
      <c r="E134" s="253"/>
      <c r="F134" s="253"/>
    </row>
    <row r="135" spans="2:6" x14ac:dyDescent="0.25">
      <c r="B135" s="3">
        <v>1</v>
      </c>
      <c r="C135" s="12">
        <v>2508512301</v>
      </c>
      <c r="D135" s="253"/>
      <c r="E135" s="253"/>
      <c r="F135" s="253"/>
    </row>
    <row r="136" spans="2:6" x14ac:dyDescent="0.25">
      <c r="B136" s="3">
        <v>1</v>
      </c>
      <c r="C136" s="12">
        <v>2508612301</v>
      </c>
      <c r="D136" s="253"/>
      <c r="E136" s="253"/>
      <c r="F136" s="253"/>
    </row>
    <row r="137" spans="2:6" x14ac:dyDescent="0.25">
      <c r="B137" s="3">
        <v>1</v>
      </c>
      <c r="C137" s="12">
        <v>2509212301</v>
      </c>
      <c r="D137" s="253"/>
      <c r="E137" s="253"/>
      <c r="F137" s="253"/>
    </row>
    <row r="138" spans="2:6" x14ac:dyDescent="0.25">
      <c r="B138" s="3">
        <v>1</v>
      </c>
      <c r="C138" s="12">
        <v>2509312301</v>
      </c>
      <c r="D138" s="253"/>
      <c r="E138" s="253"/>
      <c r="F138" s="253"/>
    </row>
    <row r="139" spans="2:6" x14ac:dyDescent="0.25">
      <c r="B139" s="3">
        <v>1</v>
      </c>
      <c r="C139" s="12">
        <v>2509412301</v>
      </c>
      <c r="D139" s="253"/>
      <c r="E139" s="253"/>
      <c r="F139" s="253"/>
    </row>
    <row r="140" spans="2:6" x14ac:dyDescent="0.25">
      <c r="B140" s="3">
        <v>1</v>
      </c>
      <c r="C140" s="12">
        <v>2509512301</v>
      </c>
      <c r="D140" s="253"/>
      <c r="E140" s="253"/>
      <c r="F140" s="253"/>
    </row>
    <row r="141" spans="2:6" x14ac:dyDescent="0.25">
      <c r="B141" s="3">
        <v>1</v>
      </c>
      <c r="C141" s="12">
        <v>2509612301</v>
      </c>
      <c r="D141" s="253"/>
      <c r="E141" s="253"/>
      <c r="F141" s="253"/>
    </row>
    <row r="142" spans="2:6" x14ac:dyDescent="0.25">
      <c r="B142" s="3">
        <v>1</v>
      </c>
      <c r="C142" s="12">
        <v>2509712301</v>
      </c>
      <c r="D142" s="253"/>
      <c r="E142" s="253"/>
      <c r="F142" s="253"/>
    </row>
  </sheetData>
  <mergeCells count="160">
    <mergeCell ref="B2:F2"/>
    <mergeCell ref="I2:P2"/>
    <mergeCell ref="R2:Y2"/>
    <mergeCell ref="AA2:AH2"/>
    <mergeCell ref="D5:F5"/>
    <mergeCell ref="D6:F6"/>
    <mergeCell ref="D7:F7"/>
    <mergeCell ref="D8:F8"/>
    <mergeCell ref="D9:F9"/>
    <mergeCell ref="I3:I4"/>
    <mergeCell ref="I6:I8"/>
    <mergeCell ref="R3:R4"/>
    <mergeCell ref="R6:R8"/>
    <mergeCell ref="AA3:AA4"/>
    <mergeCell ref="AA6:AA8"/>
    <mergeCell ref="J3:K4"/>
    <mergeCell ref="AB3:AC4"/>
    <mergeCell ref="L3:P4"/>
    <mergeCell ref="S3:T4"/>
    <mergeCell ref="U3:Y4"/>
    <mergeCell ref="AD3:AH4"/>
    <mergeCell ref="J6:K8"/>
    <mergeCell ref="AB6:AC8"/>
    <mergeCell ref="S6:T8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23:F123"/>
    <mergeCell ref="D124:F124"/>
    <mergeCell ref="D125:F125"/>
    <mergeCell ref="D126:F126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36:F136"/>
    <mergeCell ref="D137:F137"/>
    <mergeCell ref="D138:F138"/>
    <mergeCell ref="D139:F139"/>
    <mergeCell ref="D140:F140"/>
    <mergeCell ref="D141:F141"/>
    <mergeCell ref="D142:F142"/>
    <mergeCell ref="B3:B4"/>
    <mergeCell ref="C3:C4"/>
    <mergeCell ref="D3:F4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18:F118"/>
    <mergeCell ref="D119:F119"/>
    <mergeCell ref="D120:F120"/>
    <mergeCell ref="D121:F121"/>
    <mergeCell ref="D122:F122"/>
  </mergeCells>
  <pageMargins left="0.78749999999999998" right="0.78749999999999998" top="1.05277777777778" bottom="1.05277777777778" header="0.78749999999999998" footer="0.78749999999999998"/>
  <pageSetup paperSize="9" firstPageNumber="0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4" master="" otherUserPermission="visible"/>
  <rangeList sheetStid="3" master="" otherUserPermission="visible"/>
  <rangeList sheetStid="5" master="" otherUserPermission="visible"/>
  <rangeList sheetStid="6" master="" otherUserPermission="visible"/>
  <rangeList sheetStid="7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Valeurs</vt:lpstr>
      <vt:lpstr>MASSE</vt:lpstr>
      <vt:lpstr>TOURTEAU</vt:lpstr>
      <vt:lpstr>BEURRE</vt:lpstr>
      <vt:lpstr>GRAPHIQUES</vt:lpstr>
      <vt:lpstr>Contrôle TEST PESEE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Stagiaire SI. Informatique</cp:lastModifiedBy>
  <cp:revision>377</cp:revision>
  <dcterms:created xsi:type="dcterms:W3CDTF">2015-06-05T18:19:00Z</dcterms:created>
  <dcterms:modified xsi:type="dcterms:W3CDTF">2026-08-26T08:47:00Z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ICV">
    <vt:lpwstr>A2CB5370709E4BE2B1C3F088222E4A04_12</vt:lpwstr>
  </property>
  <property fmtid="{D5CDD505-2E9C-101B-9397-08002B2CF9AE}" pid="6" name="KSOProductBuildVer">
    <vt:lpwstr>1036-12.2.0.23196</vt:lpwstr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